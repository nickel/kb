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yment schedule"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Example value, the same loan as in the earlier worked example.</t>
        </r>
      </text>
    </comment>
    <comment ref="B4" authorId="0">
      <text>
        <r>
          <rPr>
            <sz val="10"/>
            <rFont val="Arial"/>
            <family val="2"/>
          </rPr>
          <t xml:space="preserve">Assumed example rate – the price matrix is not yet populated.</t>
        </r>
      </text>
    </comment>
    <comment ref="B5" authorId="0">
      <text>
        <r>
          <rPr>
            <sz val="10"/>
            <rFont val="Arial"/>
            <family val="2"/>
          </rPr>
          <t xml:space="preserve">12–144 months in steps of 12.</t>
        </r>
      </text>
    </comment>
    <comment ref="B6" authorId="0">
      <text>
        <r>
          <rPr>
            <sz val="10"/>
            <rFont val="Arial"/>
            <family val="2"/>
          </rPr>
          <t xml:space="preserve">Assumption: deducted from the payout. The customer receives 199,500 but owes 200,000.</t>
        </r>
      </text>
    </comment>
    <comment ref="B7" authorId="0">
      <text>
        <r>
          <rPr>
            <sz val="10"/>
            <rFont val="Arial"/>
            <family val="2"/>
          </rPr>
          <t xml:space="preserve">Example date.</t>
        </r>
      </text>
    </comment>
    <comment ref="B8" authorId="0">
      <text>
        <r>
          <rPr>
            <sz val="10"/>
            <rFont val="Arial"/>
            <family val="2"/>
          </rPr>
          <t xml:space="preserve">The 27th of the month after payout. The move to the next banking day is not modelled.</t>
        </r>
      </text>
    </comment>
    <comment ref="B9" authorId="0">
      <text>
        <r>
          <rPr>
            <sz val="10"/>
            <rFont val="Arial"/>
            <family val="2"/>
          </rPr>
          <t xml:space="preserve">Actual/365.</t>
        </r>
      </text>
    </comment>
    <comment ref="E12" authorId="0">
      <text>
        <r>
          <rPr>
            <sz val="10"/>
            <rFont val="Arial"/>
            <family val="2"/>
          </rPr>
          <t xml:space="preserve">The sum of column K. Each payment is discounted back to the payout date at the effective rate. The effective rate is exactly the rate that makes this sum equal to what the customer received.</t>
        </r>
      </text>
    </comment>
    <comment ref="E14" authorId="0">
      <text>
        <r>
          <rPr>
            <sz val="10"/>
            <rFont val="Arial"/>
            <family val="2"/>
          </rPr>
          <t xml:space="preserve">The monthly payment is rounded up to whole kronor. The difference is adjusted in the final payment, which is the remaining balance plus the final month’s interest.</t>
        </r>
      </text>
    </comment>
  </commentList>
</comments>
</file>

<file path=xl/sharedStrings.xml><?xml version="1.0" encoding="utf-8"?>
<sst xmlns="http://schemas.openxmlformats.org/spreadsheetml/2006/main" count="41" uniqueCount="40">
  <si>
    <t xml:space="preserve">Annuity loan – payment schedule and effective interest rate (APR)</t>
  </si>
  <si>
    <t xml:space="preserve">Blue text on yellow = inputs you can change. Everything else is calculated.</t>
  </si>
  <si>
    <t xml:space="preserve">Results</t>
  </si>
  <si>
    <t xml:space="preserve">Loan amount (SEK)</t>
  </si>
  <si>
    <t xml:space="preserve">Monthly payment (whole SEK, rounded up)</t>
  </si>
  <si>
    <t xml:space="preserve">Nominal interest rate</t>
  </si>
  <si>
    <t xml:space="preserve">Number of payments</t>
  </si>
  <si>
    <t xml:space="preserve">Term (months)</t>
  </si>
  <si>
    <t xml:space="preserve">Total payments (SEK)</t>
  </si>
  <si>
    <t xml:space="preserve">Arrangement fee (SEK)</t>
  </si>
  <si>
    <t xml:space="preserve">  of which principal (SEK)</t>
  </si>
  <si>
    <t xml:space="preserve">Payout date</t>
  </si>
  <si>
    <t xml:space="preserve">  of which interest (SEK)</t>
  </si>
  <si>
    <t xml:space="preserve">First due date</t>
  </si>
  <si>
    <t xml:space="preserve">Interest basis (days)</t>
  </si>
  <si>
    <t xml:space="preserve">Total cost of credit (SEK)</t>
  </si>
  <si>
    <t xml:space="preserve">Effective rate (APR) without fee</t>
  </si>
  <si>
    <t xml:space="preserve">Effective rate (APR) with fee</t>
  </si>
  <si>
    <t xml:space="preserve">Check: present value of all payments (SEK)</t>
  </si>
  <si>
    <t xml:space="preserve">…must equal the net payout (SEK)</t>
  </si>
  <si>
    <t xml:space="preserve">Final payment (SEK)</t>
  </si>
  <si>
    <t xml:space="preserve">Final payment lower than the regular one by (SEK)</t>
  </si>
  <si>
    <t xml:space="preserve">X = effective rate with fee (E11). Column K sums to E12.</t>
  </si>
  <si>
    <t xml:space="preserve">Helper columns for the calculation</t>
  </si>
  <si>
    <t xml:space="preserve">No.</t>
  </si>
  <si>
    <t xml:space="preserve">Due date</t>
  </si>
  <si>
    <t xml:space="preserve">Days in period</t>
  </si>
  <si>
    <t xml:space="preserve">Opening balance (SEK)</t>
  </si>
  <si>
    <t xml:space="preserve">Interest (SEK)</t>
  </si>
  <si>
    <t xml:space="preserve">Principal (SEK)</t>
  </si>
  <si>
    <t xml:space="preserve">Payment (SEK)</t>
  </si>
  <si>
    <t xml:space="preserve">Closing balance (SEK)</t>
  </si>
  <si>
    <t xml:space="preserve">Years from payout (s)</t>
  </si>
  <si>
    <t xml:space="preserve">Discount factor (1+X)^−s</t>
  </si>
  <si>
    <t xml:space="preserve">Present value of payment (SEK)</t>
  </si>
  <si>
    <t xml:space="preserve">Helper: annuity factor</t>
  </si>
  <si>
    <t xml:space="preserve">Helper: date</t>
  </si>
  <si>
    <t xml:space="preserve">Helper: cash flow without fee</t>
  </si>
  <si>
    <t xml:space="preserve">Helper: cash flow with fee</t>
  </si>
  <si>
    <t xml:space="preserve">Payout</t>
  </si>
</sst>
</file>

<file path=xl/styles.xml><?xml version="1.0" encoding="utf-8"?>
<styleSheet xmlns="http://schemas.openxmlformats.org/spreadsheetml/2006/main">
  <numFmts count="8">
    <numFmt numFmtId="164" formatCode="General"/>
    <numFmt numFmtId="165" formatCode="#,##0;\-#,##0;\-"/>
    <numFmt numFmtId="166" formatCode="0.00%"/>
    <numFmt numFmtId="167" formatCode="0"/>
    <numFmt numFmtId="168" formatCode="yyyy\-mm\-dd"/>
    <numFmt numFmtId="169" formatCode="#,##0.00"/>
    <numFmt numFmtId="170" formatCode="0.0000"/>
    <numFmt numFmtId="171" formatCode="0.0000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808080"/>
      <name val="Arial"/>
      <family val="0"/>
      <charset val="1"/>
    </font>
    <font>
      <b val="true"/>
      <sz val="10"/>
      <name val="Arial"/>
      <family val="0"/>
      <charset val="1"/>
    </font>
    <font>
      <sz val="10"/>
      <name val="Arial"/>
      <family val="0"/>
      <charset val="1"/>
    </font>
    <font>
      <sz val="10"/>
      <color rgb="FF0000FF"/>
      <name val="Arial"/>
      <family val="0"/>
      <charset val="1"/>
    </font>
    <font>
      <sz val="9"/>
      <color rgb="FF808080"/>
      <name val="Arial"/>
      <family val="0"/>
      <charset val="1"/>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E2EFDA"/>
        <bgColor rgb="FFF2F2F2"/>
      </patternFill>
    </fill>
    <fill>
      <patternFill patternType="solid">
        <fgColor rgb="FFD9D9D9"/>
        <bgColor rgb="FFE2EFDA"/>
      </patternFill>
    </fill>
    <fill>
      <patternFill patternType="solid">
        <fgColor rgb="FFF2F2F2"/>
        <bgColor rgb="FFE2EFDA"/>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2"/>
    <col collapsed="false" customWidth="true" hidden="false" outlineLevel="0" max="4" min="4" style="0" width="40"/>
    <col collapsed="false" customWidth="true" hidden="false" outlineLevel="0" max="8" min="5" style="0" width="14"/>
    <col collapsed="false" customWidth="true" hidden="false" outlineLevel="0" max="9" min="9" style="0" width="13"/>
    <col collapsed="false" customWidth="true" hidden="false" outlineLevel="0" max="11" min="10" style="0" width="15"/>
    <col collapsed="false" customWidth="true" hidden="false" outlineLevel="0" max="12" min="12" style="0" width="13"/>
    <col collapsed="false" customWidth="true" hidden="false" outlineLevel="0" max="13" min="13" style="0" width="12"/>
    <col collapsed="false" customWidth="true" hidden="false" outlineLevel="0" max="15" min="14" style="0" width="14"/>
  </cols>
  <sheetData>
    <row r="1" customFormat="false" ht="16.15" hidden="false" customHeight="false" outlineLevel="0" collapsed="false">
      <c r="A1" s="1" t="s">
        <v>0</v>
      </c>
    </row>
    <row r="2" customFormat="false" ht="15" hidden="false" customHeight="false" outlineLevel="0" collapsed="false">
      <c r="A2" s="2" t="s">
        <v>1</v>
      </c>
      <c r="D2" s="3" t="s">
        <v>2</v>
      </c>
    </row>
    <row r="3" customFormat="false" ht="15" hidden="false" customHeight="false" outlineLevel="0" collapsed="false">
      <c r="A3" s="4" t="s">
        <v>3</v>
      </c>
      <c r="B3" s="5" t="n">
        <v>200000</v>
      </c>
      <c r="D3" s="4" t="s">
        <v>4</v>
      </c>
      <c r="E3" s="6" t="n">
        <f aca="false">ROUNDUP($B$3/SUM(L18:L161),0)</f>
        <v>4272</v>
      </c>
    </row>
    <row r="4" customFormat="false" ht="15" hidden="false" customHeight="false" outlineLevel="0" collapsed="false">
      <c r="A4" s="4" t="s">
        <v>5</v>
      </c>
      <c r="B4" s="7" t="n">
        <v>0.0995</v>
      </c>
      <c r="D4" s="4" t="s">
        <v>6</v>
      </c>
      <c r="E4" s="8" t="n">
        <f aca="false">$B$5</f>
        <v>60</v>
      </c>
    </row>
    <row r="5" customFormat="false" ht="15" hidden="false" customHeight="false" outlineLevel="0" collapsed="false">
      <c r="A5" s="4" t="s">
        <v>7</v>
      </c>
      <c r="B5" s="9" t="n">
        <v>60</v>
      </c>
      <c r="D5" s="4" t="s">
        <v>8</v>
      </c>
      <c r="E5" s="6" t="n">
        <f aca="false">SUM(G18:G161)</f>
        <v>256278</v>
      </c>
    </row>
    <row r="6" customFormat="false" ht="15" hidden="false" customHeight="false" outlineLevel="0" collapsed="false">
      <c r="A6" s="4" t="s">
        <v>9</v>
      </c>
      <c r="B6" s="5" t="n">
        <v>500</v>
      </c>
      <c r="D6" s="4" t="s">
        <v>10</v>
      </c>
      <c r="E6" s="6" t="n">
        <f aca="false">SUM(F18:F161)</f>
        <v>200000</v>
      </c>
    </row>
    <row r="7" customFormat="false" ht="15" hidden="false" customHeight="false" outlineLevel="0" collapsed="false">
      <c r="A7" s="4" t="s">
        <v>11</v>
      </c>
      <c r="B7" s="10" t="n">
        <v>46360</v>
      </c>
      <c r="D7" s="4" t="s">
        <v>12</v>
      </c>
      <c r="E7" s="6" t="n">
        <f aca="false">SUM(E18:E161)</f>
        <v>56278</v>
      </c>
    </row>
    <row r="8" customFormat="false" ht="15" hidden="false" customHeight="false" outlineLevel="0" collapsed="false">
      <c r="A8" s="4" t="s">
        <v>13</v>
      </c>
      <c r="B8" s="10" t="n">
        <v>46414</v>
      </c>
      <c r="D8" s="4" t="s">
        <v>9</v>
      </c>
      <c r="E8" s="6" t="n">
        <f aca="false">$B$6</f>
        <v>500</v>
      </c>
    </row>
    <row r="9" customFormat="false" ht="15" hidden="false" customHeight="false" outlineLevel="0" collapsed="false">
      <c r="A9" s="4" t="s">
        <v>14</v>
      </c>
      <c r="B9" s="9" t="n">
        <v>365</v>
      </c>
      <c r="D9" s="3" t="s">
        <v>15</v>
      </c>
      <c r="E9" s="11" t="n">
        <f aca="false">E7+E8</f>
        <v>56778</v>
      </c>
    </row>
    <row r="10" customFormat="false" ht="15" hidden="false" customHeight="false" outlineLevel="0" collapsed="false">
      <c r="D10" s="3" t="s">
        <v>16</v>
      </c>
      <c r="E10" s="12" t="n">
        <f aca="false">XIRR(N17:N161,M17:M161)</f>
        <v>0.104142510612285</v>
      </c>
    </row>
    <row r="11" customFormat="false" ht="15" hidden="false" customHeight="false" outlineLevel="0" collapsed="false">
      <c r="D11" s="3" t="s">
        <v>17</v>
      </c>
      <c r="E11" s="12" t="n">
        <f aca="false">XIRR(O17:O161,M17:M161)</f>
        <v>0.105295160270804</v>
      </c>
    </row>
    <row r="12" customFormat="false" ht="15" hidden="false" customHeight="false" outlineLevel="0" collapsed="false">
      <c r="D12" s="4" t="s">
        <v>18</v>
      </c>
      <c r="E12" s="13" t="n">
        <f aca="false">SUM(K18:K161)</f>
        <v>199500</v>
      </c>
    </row>
    <row r="13" customFormat="false" ht="15" hidden="false" customHeight="false" outlineLevel="0" collapsed="false">
      <c r="D13" s="4" t="s">
        <v>19</v>
      </c>
      <c r="E13" s="13" t="n">
        <f aca="false">$B$3-$B$6</f>
        <v>199500</v>
      </c>
    </row>
    <row r="14" customFormat="false" ht="15" hidden="false" customHeight="false" outlineLevel="0" collapsed="false">
      <c r="D14" s="4" t="s">
        <v>20</v>
      </c>
      <c r="E14" s="6" t="n">
        <f aca="false">INDEX(G18:G161,$B$5)</f>
        <v>4230</v>
      </c>
    </row>
    <row r="15" customFormat="false" ht="15" hidden="false" customHeight="false" outlineLevel="0" collapsed="false">
      <c r="D15" s="4" t="s">
        <v>21</v>
      </c>
      <c r="E15" s="6" t="n">
        <f aca="false">E3-E14</f>
        <v>42</v>
      </c>
      <c r="I15" s="2" t="s">
        <v>22</v>
      </c>
      <c r="L15" s="2" t="s">
        <v>23</v>
      </c>
    </row>
    <row r="16" customFormat="false" ht="42" hidden="false" customHeight="true" outlineLevel="0" collapsed="false">
      <c r="A16" s="14" t="s">
        <v>24</v>
      </c>
      <c r="B16" s="14" t="s">
        <v>25</v>
      </c>
      <c r="C16" s="14" t="s">
        <v>26</v>
      </c>
      <c r="D16" s="14" t="s">
        <v>27</v>
      </c>
      <c r="E16" s="14" t="s">
        <v>28</v>
      </c>
      <c r="F16" s="14" t="s">
        <v>29</v>
      </c>
      <c r="G16" s="14" t="s">
        <v>30</v>
      </c>
      <c r="H16" s="14" t="s">
        <v>31</v>
      </c>
      <c r="I16" s="14" t="s">
        <v>32</v>
      </c>
      <c r="J16" s="14" t="s">
        <v>33</v>
      </c>
      <c r="K16" s="14" t="s">
        <v>34</v>
      </c>
      <c r="L16" s="15" t="s">
        <v>35</v>
      </c>
      <c r="M16" s="15" t="s">
        <v>36</v>
      </c>
      <c r="N16" s="15" t="s">
        <v>37</v>
      </c>
      <c r="O16" s="15" t="s">
        <v>38</v>
      </c>
    </row>
    <row r="17" customFormat="false" ht="15" hidden="false" customHeight="false" outlineLevel="0" collapsed="false">
      <c r="A17" s="16" t="n">
        <v>0</v>
      </c>
      <c r="B17" s="17" t="n">
        <f aca="false">$B$7</f>
        <v>46360</v>
      </c>
      <c r="C17" s="18" t="s">
        <v>39</v>
      </c>
      <c r="D17" s="19"/>
      <c r="E17" s="19"/>
      <c r="F17" s="19"/>
      <c r="G17" s="19"/>
      <c r="H17" s="19" t="n">
        <f aca="false">$B$3</f>
        <v>200000</v>
      </c>
      <c r="I17" s="20" t="n">
        <v>0</v>
      </c>
      <c r="J17" s="21" t="n">
        <v>1</v>
      </c>
      <c r="K17" s="22"/>
      <c r="L17" s="23" t="n">
        <v>1</v>
      </c>
      <c r="M17" s="24" t="n">
        <f aca="false">$B$7</f>
        <v>46360</v>
      </c>
      <c r="N17" s="25" t="n">
        <f aca="false">$B$3</f>
        <v>200000</v>
      </c>
      <c r="O17" s="25" t="n">
        <f aca="false">$B$3-$B$6</f>
        <v>199500</v>
      </c>
    </row>
    <row r="18" customFormat="false" ht="15" hidden="false" customHeight="false" outlineLevel="0" collapsed="false">
      <c r="A18" s="16" t="n">
        <f aca="false">IF(ROW()-17&lt;=$B$5,ROW()-17,"")</f>
        <v>1</v>
      </c>
      <c r="B18" s="17" t="n">
        <f aca="false">IF(A18="","",EDATE($B$8,A18-1))</f>
        <v>46414</v>
      </c>
      <c r="C18" s="16" t="n">
        <f aca="false">IF(A18="","",B18-B17)</f>
        <v>54</v>
      </c>
      <c r="D18" s="19" t="n">
        <f aca="false">IF(A18="","",H17)</f>
        <v>200000</v>
      </c>
      <c r="E18" s="19" t="n">
        <f aca="false">IF(A18="","",ROUND(D18*$B$4*C18/$B$9,0))</f>
        <v>2944</v>
      </c>
      <c r="F18" s="19" t="n">
        <f aca="false">IF(A18="","",G18-E18)</f>
        <v>1328</v>
      </c>
      <c r="G18" s="19" t="n">
        <f aca="false">IF(A18="","",IF(A18=$B$5,D18+E18,$E$3))</f>
        <v>4272</v>
      </c>
      <c r="H18" s="19" t="n">
        <f aca="false">IF(A18="","",D18+E18-G18)</f>
        <v>198672</v>
      </c>
      <c r="I18" s="20" t="n">
        <f aca="false">IF(A18="","",(B18-$B$7)/365)</f>
        <v>0.147945205479452</v>
      </c>
      <c r="J18" s="21" t="n">
        <f aca="false">IF(A18="","",(1+$E$11)^(-I18))</f>
        <v>0.985297994118861</v>
      </c>
      <c r="K18" s="22" t="n">
        <f aca="false">IF(A18="","",G18*J18)</f>
        <v>4209.19303087577</v>
      </c>
      <c r="L18" s="23" t="n">
        <f aca="false">IF(A18="","",L17/(1+$B$4*C18/$B$9))</f>
        <v>0.985493002999679</v>
      </c>
      <c r="M18" s="24" t="n">
        <f aca="false">IF(A18="",$B$7+1,B18)</f>
        <v>46414</v>
      </c>
      <c r="N18" s="25" t="n">
        <f aca="false">IF(A18="",0,-G18)</f>
        <v>-4272</v>
      </c>
      <c r="O18" s="25" t="n">
        <f aca="false">IF(A18="",0,-G18)</f>
        <v>-4272</v>
      </c>
    </row>
    <row r="19" customFormat="false" ht="15" hidden="false" customHeight="false" outlineLevel="0" collapsed="false">
      <c r="A19" s="16" t="n">
        <f aca="false">IF(ROW()-17&lt;=$B$5,ROW()-17,"")</f>
        <v>2</v>
      </c>
      <c r="B19" s="17" t="n">
        <f aca="false">IF(A19="","",EDATE($B$8,A19-1))</f>
        <v>46445</v>
      </c>
      <c r="C19" s="16" t="n">
        <f aca="false">IF(A19="","",B19-B18)</f>
        <v>31</v>
      </c>
      <c r="D19" s="19" t="n">
        <f aca="false">IF(A19="","",H18)</f>
        <v>198672</v>
      </c>
      <c r="E19" s="19" t="n">
        <f aca="false">IF(A19="","",ROUND(D19*$B$4*C19/$B$9,0))</f>
        <v>1679</v>
      </c>
      <c r="F19" s="19" t="n">
        <f aca="false">IF(A19="","",G19-E19)</f>
        <v>2593</v>
      </c>
      <c r="G19" s="19" t="n">
        <f aca="false">IF(A19="","",IF(A19=$B$5,D19+E19,$E$3))</f>
        <v>4272</v>
      </c>
      <c r="H19" s="19" t="n">
        <f aca="false">IF(A19="","",D19+E19-G19)</f>
        <v>196079</v>
      </c>
      <c r="I19" s="20" t="n">
        <f aca="false">IF(A19="","",(B19-$B$7)/365)</f>
        <v>0.232876712328767</v>
      </c>
      <c r="J19" s="21" t="n">
        <f aca="false">IF(A19="","",(1+$E$11)^(-I19))</f>
        <v>0.976955818532295</v>
      </c>
      <c r="K19" s="22" t="n">
        <f aca="false">IF(A19="","",G19*J19)</f>
        <v>4173.55525676996</v>
      </c>
      <c r="L19" s="23" t="n">
        <f aca="false">IF(A19="","",L18/(1+$B$4*C19/$B$9))</f>
        <v>0.977234700442107</v>
      </c>
      <c r="M19" s="24" t="n">
        <f aca="false">IF(A19="",$B$7+1,B19)</f>
        <v>46445</v>
      </c>
      <c r="N19" s="25" t="n">
        <f aca="false">IF(A19="",0,-G19)</f>
        <v>-4272</v>
      </c>
      <c r="O19" s="25" t="n">
        <f aca="false">IF(A19="",0,-G19)</f>
        <v>-4272</v>
      </c>
    </row>
    <row r="20" customFormat="false" ht="15" hidden="false" customHeight="false" outlineLevel="0" collapsed="false">
      <c r="A20" s="16" t="n">
        <f aca="false">IF(ROW()-17&lt;=$B$5,ROW()-17,"")</f>
        <v>3</v>
      </c>
      <c r="B20" s="17" t="n">
        <f aca="false">IF(A20="","",EDATE($B$8,A20-1))</f>
        <v>46473</v>
      </c>
      <c r="C20" s="16" t="n">
        <f aca="false">IF(A20="","",B20-B19)</f>
        <v>28</v>
      </c>
      <c r="D20" s="19" t="n">
        <f aca="false">IF(A20="","",H19)</f>
        <v>196079</v>
      </c>
      <c r="E20" s="19" t="n">
        <f aca="false">IF(A20="","",ROUND(D20*$B$4*C20/$B$9,0))</f>
        <v>1497</v>
      </c>
      <c r="F20" s="19" t="n">
        <f aca="false">IF(A20="","",G20-E20)</f>
        <v>2775</v>
      </c>
      <c r="G20" s="19" t="n">
        <f aca="false">IF(A20="","",IF(A20=$B$5,D20+E20,$E$3))</f>
        <v>4272</v>
      </c>
      <c r="H20" s="19" t="n">
        <f aca="false">IF(A20="","",D20+E20-G20)</f>
        <v>193304</v>
      </c>
      <c r="I20" s="20" t="n">
        <f aca="false">IF(A20="","",(B20-$B$7)/365)</f>
        <v>0.30958904109589</v>
      </c>
      <c r="J20" s="21" t="n">
        <f aca="false">IF(A20="","",(1+$E$11)^(-I20))</f>
        <v>0.96948167512975</v>
      </c>
      <c r="K20" s="22" t="n">
        <f aca="false">IF(A20="","",G20*J20)</f>
        <v>4141.62571615429</v>
      </c>
      <c r="L20" s="23" t="n">
        <f aca="false">IF(A20="","",L19/(1+$B$4*C20/$B$9))</f>
        <v>0.969832091654846</v>
      </c>
      <c r="M20" s="24" t="n">
        <f aca="false">IF(A20="",$B$7+1,B20)</f>
        <v>46473</v>
      </c>
      <c r="N20" s="25" t="n">
        <f aca="false">IF(A20="",0,-G20)</f>
        <v>-4272</v>
      </c>
      <c r="O20" s="25" t="n">
        <f aca="false">IF(A20="",0,-G20)</f>
        <v>-4272</v>
      </c>
    </row>
    <row r="21" customFormat="false" ht="15" hidden="false" customHeight="false" outlineLevel="0" collapsed="false">
      <c r="A21" s="16" t="n">
        <f aca="false">IF(ROW()-17&lt;=$B$5,ROW()-17,"")</f>
        <v>4</v>
      </c>
      <c r="B21" s="17" t="n">
        <f aca="false">IF(A21="","",EDATE($B$8,A21-1))</f>
        <v>46504</v>
      </c>
      <c r="C21" s="16" t="n">
        <f aca="false">IF(A21="","",B21-B20)</f>
        <v>31</v>
      </c>
      <c r="D21" s="19" t="n">
        <f aca="false">IF(A21="","",H20)</f>
        <v>193304</v>
      </c>
      <c r="E21" s="19" t="n">
        <f aca="false">IF(A21="","",ROUND(D21*$B$4*C21/$B$9,0))</f>
        <v>1634</v>
      </c>
      <c r="F21" s="19" t="n">
        <f aca="false">IF(A21="","",G21-E21)</f>
        <v>2638</v>
      </c>
      <c r="G21" s="19" t="n">
        <f aca="false">IF(A21="","",IF(A21=$B$5,D21+E21,$E$3))</f>
        <v>4272</v>
      </c>
      <c r="H21" s="19" t="n">
        <f aca="false">IF(A21="","",D21+E21-G21)</f>
        <v>190666</v>
      </c>
      <c r="I21" s="20" t="n">
        <f aca="false">IF(A21="","",(B21-$B$7)/365)</f>
        <v>0.394520547945205</v>
      </c>
      <c r="J21" s="21" t="n">
        <f aca="false">IF(A21="","",(1+$E$11)^(-I21))</f>
        <v>0.96127341081767</v>
      </c>
      <c r="K21" s="22" t="n">
        <f aca="false">IF(A21="","",G21*J21)</f>
        <v>4106.56001101308</v>
      </c>
      <c r="L21" s="23" t="n">
        <f aca="false">IF(A21="","",L20/(1+$B$4*C21/$B$9))</f>
        <v>0.961705025487405</v>
      </c>
      <c r="M21" s="24" t="n">
        <f aca="false">IF(A21="",$B$7+1,B21)</f>
        <v>46504</v>
      </c>
      <c r="N21" s="25" t="n">
        <f aca="false">IF(A21="",0,-G21)</f>
        <v>-4272</v>
      </c>
      <c r="O21" s="25" t="n">
        <f aca="false">IF(A21="",0,-G21)</f>
        <v>-4272</v>
      </c>
    </row>
    <row r="22" customFormat="false" ht="15" hidden="false" customHeight="false" outlineLevel="0" collapsed="false">
      <c r="A22" s="16" t="n">
        <f aca="false">IF(ROW()-17&lt;=$B$5,ROW()-17,"")</f>
        <v>5</v>
      </c>
      <c r="B22" s="17" t="n">
        <f aca="false">IF(A22="","",EDATE($B$8,A22-1))</f>
        <v>46534</v>
      </c>
      <c r="C22" s="16" t="n">
        <f aca="false">IF(A22="","",B22-B21)</f>
        <v>30</v>
      </c>
      <c r="D22" s="19" t="n">
        <f aca="false">IF(A22="","",H21)</f>
        <v>190666</v>
      </c>
      <c r="E22" s="19" t="n">
        <f aca="false">IF(A22="","",ROUND(D22*$B$4*C22/$B$9,0))</f>
        <v>1559</v>
      </c>
      <c r="F22" s="19" t="n">
        <f aca="false">IF(A22="","",G22-E22)</f>
        <v>2713</v>
      </c>
      <c r="G22" s="19" t="n">
        <f aca="false">IF(A22="","",IF(A22=$B$5,D22+E22,$E$3))</f>
        <v>4272</v>
      </c>
      <c r="H22" s="19" t="n">
        <f aca="false">IF(A22="","",D22+E22-G22)</f>
        <v>187953</v>
      </c>
      <c r="I22" s="20" t="n">
        <f aca="false">IF(A22="","",(B22-$B$7)/365)</f>
        <v>0.476712328767123</v>
      </c>
      <c r="J22" s="21" t="n">
        <f aca="false">IF(A22="","",(1+$E$11)^(-I22))</f>
        <v>0.95339610520659</v>
      </c>
      <c r="K22" s="22" t="n">
        <f aca="false">IF(A22="","",G22*J22)</f>
        <v>4072.90816144255</v>
      </c>
      <c r="L22" s="23" t="n">
        <f aca="false">IF(A22="","",L21/(1+$B$4*C22/$B$9))</f>
        <v>0.953903920819878</v>
      </c>
      <c r="M22" s="24" t="n">
        <f aca="false">IF(A22="",$B$7+1,B22)</f>
        <v>46534</v>
      </c>
      <c r="N22" s="25" t="n">
        <f aca="false">IF(A22="",0,-G22)</f>
        <v>-4272</v>
      </c>
      <c r="O22" s="25" t="n">
        <f aca="false">IF(A22="",0,-G22)</f>
        <v>-4272</v>
      </c>
    </row>
    <row r="23" customFormat="false" ht="15" hidden="false" customHeight="false" outlineLevel="0" collapsed="false">
      <c r="A23" s="16" t="n">
        <f aca="false">IF(ROW()-17&lt;=$B$5,ROW()-17,"")</f>
        <v>6</v>
      </c>
      <c r="B23" s="17" t="n">
        <f aca="false">IF(A23="","",EDATE($B$8,A23-1))</f>
        <v>46565</v>
      </c>
      <c r="C23" s="16" t="n">
        <f aca="false">IF(A23="","",B23-B22)</f>
        <v>31</v>
      </c>
      <c r="D23" s="19" t="n">
        <f aca="false">IF(A23="","",H22)</f>
        <v>187953</v>
      </c>
      <c r="E23" s="19" t="n">
        <f aca="false">IF(A23="","",ROUND(D23*$B$4*C23/$B$9,0))</f>
        <v>1588</v>
      </c>
      <c r="F23" s="19" t="n">
        <f aca="false">IF(A23="","",G23-E23)</f>
        <v>2684</v>
      </c>
      <c r="G23" s="19" t="n">
        <f aca="false">IF(A23="","",IF(A23=$B$5,D23+E23,$E$3))</f>
        <v>4272</v>
      </c>
      <c r="H23" s="19" t="n">
        <f aca="false">IF(A23="","",D23+E23-G23)</f>
        <v>185269</v>
      </c>
      <c r="I23" s="20" t="n">
        <f aca="false">IF(A23="","",(B23-$B$7)/365)</f>
        <v>0.561643835616438</v>
      </c>
      <c r="J23" s="21" t="n">
        <f aca="false">IF(A23="","",(1+$E$11)^(-I23))</f>
        <v>0.945324031823051</v>
      </c>
      <c r="K23" s="22" t="n">
        <f aca="false">IF(A23="","",G23*J23)</f>
        <v>4038.42426394808</v>
      </c>
      <c r="L23" s="23" t="n">
        <f aca="false">IF(A23="","",L22/(1+$B$4*C23/$B$9))</f>
        <v>0.945910330642163</v>
      </c>
      <c r="M23" s="24" t="n">
        <f aca="false">IF(A23="",$B$7+1,B23)</f>
        <v>46565</v>
      </c>
      <c r="N23" s="25" t="n">
        <f aca="false">IF(A23="",0,-G23)</f>
        <v>-4272</v>
      </c>
      <c r="O23" s="25" t="n">
        <f aca="false">IF(A23="",0,-G23)</f>
        <v>-4272</v>
      </c>
    </row>
    <row r="24" customFormat="false" ht="15" hidden="false" customHeight="false" outlineLevel="0" collapsed="false">
      <c r="A24" s="16" t="n">
        <f aca="false">IF(ROW()-17&lt;=$B$5,ROW()-17,"")</f>
        <v>7</v>
      </c>
      <c r="B24" s="17" t="n">
        <f aca="false">IF(A24="","",EDATE($B$8,A24-1))</f>
        <v>46595</v>
      </c>
      <c r="C24" s="16" t="n">
        <f aca="false">IF(A24="","",B24-B23)</f>
        <v>30</v>
      </c>
      <c r="D24" s="19" t="n">
        <f aca="false">IF(A24="","",H23)</f>
        <v>185269</v>
      </c>
      <c r="E24" s="19" t="n">
        <f aca="false">IF(A24="","",ROUND(D24*$B$4*C24/$B$9,0))</f>
        <v>1515</v>
      </c>
      <c r="F24" s="19" t="n">
        <f aca="false">IF(A24="","",G24-E24)</f>
        <v>2757</v>
      </c>
      <c r="G24" s="19" t="n">
        <f aca="false">IF(A24="","",IF(A24=$B$5,D24+E24,$E$3))</f>
        <v>4272</v>
      </c>
      <c r="H24" s="19" t="n">
        <f aca="false">IF(A24="","",D24+E24-G24)</f>
        <v>182512</v>
      </c>
      <c r="I24" s="20" t="n">
        <f aca="false">IF(A24="","",(B24-$B$7)/365)</f>
        <v>0.643835616438356</v>
      </c>
      <c r="J24" s="21" t="n">
        <f aca="false">IF(A24="","",(1+$E$11)^(-I24))</f>
        <v>0.937577425897653</v>
      </c>
      <c r="K24" s="22" t="n">
        <f aca="false">IF(A24="","",G24*J24)</f>
        <v>4005.33076343477</v>
      </c>
      <c r="L24" s="23" t="n">
        <f aca="false">IF(A24="","",L23/(1+$B$4*C24/$B$9))</f>
        <v>0.938237348490807</v>
      </c>
      <c r="M24" s="24" t="n">
        <f aca="false">IF(A24="",$B$7+1,B24)</f>
        <v>46595</v>
      </c>
      <c r="N24" s="25" t="n">
        <f aca="false">IF(A24="",0,-G24)</f>
        <v>-4272</v>
      </c>
      <c r="O24" s="25" t="n">
        <f aca="false">IF(A24="",0,-G24)</f>
        <v>-4272</v>
      </c>
    </row>
    <row r="25" customFormat="false" ht="15" hidden="false" customHeight="false" outlineLevel="0" collapsed="false">
      <c r="A25" s="16" t="n">
        <f aca="false">IF(ROW()-17&lt;=$B$5,ROW()-17,"")</f>
        <v>8</v>
      </c>
      <c r="B25" s="17" t="n">
        <f aca="false">IF(A25="","",EDATE($B$8,A25-1))</f>
        <v>46626</v>
      </c>
      <c r="C25" s="16" t="n">
        <f aca="false">IF(A25="","",B25-B24)</f>
        <v>31</v>
      </c>
      <c r="D25" s="19" t="n">
        <f aca="false">IF(A25="","",H24)</f>
        <v>182512</v>
      </c>
      <c r="E25" s="19" t="n">
        <f aca="false">IF(A25="","",ROUND(D25*$B$4*C25/$B$9,0))</f>
        <v>1542</v>
      </c>
      <c r="F25" s="19" t="n">
        <f aca="false">IF(A25="","",G25-E25)</f>
        <v>2730</v>
      </c>
      <c r="G25" s="19" t="n">
        <f aca="false">IF(A25="","",IF(A25=$B$5,D25+E25,$E$3))</f>
        <v>4272</v>
      </c>
      <c r="H25" s="19" t="n">
        <f aca="false">IF(A25="","",D25+E25-G25)</f>
        <v>179782</v>
      </c>
      <c r="I25" s="20" t="n">
        <f aca="false">IF(A25="","",(B25-$B$7)/365)</f>
        <v>0.728767123287671</v>
      </c>
      <c r="J25" s="21" t="n">
        <f aca="false">IF(A25="","",(1+$E$11)^(-I25))</f>
        <v>0.929639283772607</v>
      </c>
      <c r="K25" s="22" t="n">
        <f aca="false">IF(A25="","",G25*J25)</f>
        <v>3971.41902027658</v>
      </c>
      <c r="L25" s="23" t="n">
        <f aca="false">IF(A25="","",L24/(1+$B$4*C25/$B$9))</f>
        <v>0.930375042141532</v>
      </c>
      <c r="M25" s="24" t="n">
        <f aca="false">IF(A25="",$B$7+1,B25)</f>
        <v>46626</v>
      </c>
      <c r="N25" s="25" t="n">
        <f aca="false">IF(A25="",0,-G25)</f>
        <v>-4272</v>
      </c>
      <c r="O25" s="25" t="n">
        <f aca="false">IF(A25="",0,-G25)</f>
        <v>-4272</v>
      </c>
    </row>
    <row r="26" customFormat="false" ht="15" hidden="false" customHeight="false" outlineLevel="0" collapsed="false">
      <c r="A26" s="16" t="n">
        <f aca="false">IF(ROW()-17&lt;=$B$5,ROW()-17,"")</f>
        <v>9</v>
      </c>
      <c r="B26" s="17" t="n">
        <f aca="false">IF(A26="","",EDATE($B$8,A26-1))</f>
        <v>46657</v>
      </c>
      <c r="C26" s="16" t="n">
        <f aca="false">IF(A26="","",B26-B25)</f>
        <v>31</v>
      </c>
      <c r="D26" s="19" t="n">
        <f aca="false">IF(A26="","",H25)</f>
        <v>179782</v>
      </c>
      <c r="E26" s="19" t="n">
        <f aca="false">IF(A26="","",ROUND(D26*$B$4*C26/$B$9,0))</f>
        <v>1519</v>
      </c>
      <c r="F26" s="19" t="n">
        <f aca="false">IF(A26="","",G26-E26)</f>
        <v>2753</v>
      </c>
      <c r="G26" s="19" t="n">
        <f aca="false">IF(A26="","",IF(A26=$B$5,D26+E26,$E$3))</f>
        <v>4272</v>
      </c>
      <c r="H26" s="19" t="n">
        <f aca="false">IF(A26="","",D26+E26-G26)</f>
        <v>177029</v>
      </c>
      <c r="I26" s="20" t="n">
        <f aca="false">IF(A26="","",(B26-$B$7)/365)</f>
        <v>0.813698630136986</v>
      </c>
      <c r="J26" s="21" t="n">
        <f aca="false">IF(A26="","",(1+$E$11)^(-I26))</f>
        <v>0.921768351137313</v>
      </c>
      <c r="K26" s="22" t="n">
        <f aca="false">IF(A26="","",G26*J26)</f>
        <v>3937.7943960586</v>
      </c>
      <c r="L26" s="23" t="n">
        <f aca="false">IF(A26="","",L25/(1+$B$4*C26/$B$9))</f>
        <v>0.922578620891831</v>
      </c>
      <c r="M26" s="24" t="n">
        <f aca="false">IF(A26="",$B$7+1,B26)</f>
        <v>46657</v>
      </c>
      <c r="N26" s="25" t="n">
        <f aca="false">IF(A26="",0,-G26)</f>
        <v>-4272</v>
      </c>
      <c r="O26" s="25" t="n">
        <f aca="false">IF(A26="",0,-G26)</f>
        <v>-4272</v>
      </c>
    </row>
    <row r="27" customFormat="false" ht="15" hidden="false" customHeight="false" outlineLevel="0" collapsed="false">
      <c r="A27" s="16" t="n">
        <f aca="false">IF(ROW()-17&lt;=$B$5,ROW()-17,"")</f>
        <v>10</v>
      </c>
      <c r="B27" s="17" t="n">
        <f aca="false">IF(A27="","",EDATE($B$8,A27-1))</f>
        <v>46687</v>
      </c>
      <c r="C27" s="16" t="n">
        <f aca="false">IF(A27="","",B27-B26)</f>
        <v>30</v>
      </c>
      <c r="D27" s="19" t="n">
        <f aca="false">IF(A27="","",H26)</f>
        <v>177029</v>
      </c>
      <c r="E27" s="19" t="n">
        <f aca="false">IF(A27="","",ROUND(D27*$B$4*C27/$B$9,0))</f>
        <v>1448</v>
      </c>
      <c r="F27" s="19" t="n">
        <f aca="false">IF(A27="","",G27-E27)</f>
        <v>2824</v>
      </c>
      <c r="G27" s="19" t="n">
        <f aca="false">IF(A27="","",IF(A27=$B$5,D27+E27,$E$3))</f>
        <v>4272</v>
      </c>
      <c r="H27" s="19" t="n">
        <f aca="false">IF(A27="","",D27+E27-G27)</f>
        <v>174205</v>
      </c>
      <c r="I27" s="20" t="n">
        <f aca="false">IF(A27="","",(B27-$B$7)/365)</f>
        <v>0.895890410958904</v>
      </c>
      <c r="J27" s="21" t="n">
        <f aca="false">IF(A27="","",(1+$E$11)^(-I27))</f>
        <v>0.914214775928826</v>
      </c>
      <c r="K27" s="22" t="n">
        <f aca="false">IF(A27="","",G27*J27)</f>
        <v>3905.52552276795</v>
      </c>
      <c r="L27" s="23" t="n">
        <f aca="false">IF(A27="","",L26/(1+$B$4*C27/$B$9))</f>
        <v>0.915094899589707</v>
      </c>
      <c r="M27" s="24" t="n">
        <f aca="false">IF(A27="",$B$7+1,B27)</f>
        <v>46687</v>
      </c>
      <c r="N27" s="25" t="n">
        <f aca="false">IF(A27="",0,-G27)</f>
        <v>-4272</v>
      </c>
      <c r="O27" s="25" t="n">
        <f aca="false">IF(A27="",0,-G27)</f>
        <v>-4272</v>
      </c>
    </row>
    <row r="28" customFormat="false" ht="15" hidden="false" customHeight="false" outlineLevel="0" collapsed="false">
      <c r="A28" s="16" t="n">
        <f aca="false">IF(ROW()-17&lt;=$B$5,ROW()-17,"")</f>
        <v>11</v>
      </c>
      <c r="B28" s="17" t="n">
        <f aca="false">IF(A28="","",EDATE($B$8,A28-1))</f>
        <v>46718</v>
      </c>
      <c r="C28" s="16" t="n">
        <f aca="false">IF(A28="","",B28-B27)</f>
        <v>31</v>
      </c>
      <c r="D28" s="19" t="n">
        <f aca="false">IF(A28="","",H27)</f>
        <v>174205</v>
      </c>
      <c r="E28" s="19" t="n">
        <f aca="false">IF(A28="","",ROUND(D28*$B$4*C28/$B$9,0))</f>
        <v>1472</v>
      </c>
      <c r="F28" s="19" t="n">
        <f aca="false">IF(A28="","",G28-E28)</f>
        <v>2800</v>
      </c>
      <c r="G28" s="19" t="n">
        <f aca="false">IF(A28="","",IF(A28=$B$5,D28+E28,$E$3))</f>
        <v>4272</v>
      </c>
      <c r="H28" s="19" t="n">
        <f aca="false">IF(A28="","",D28+E28-G28)</f>
        <v>171405</v>
      </c>
      <c r="I28" s="20" t="n">
        <f aca="false">IF(A28="","",(B28-$B$7)/365)</f>
        <v>0.980821917808219</v>
      </c>
      <c r="J28" s="21" t="n">
        <f aca="false">IF(A28="","",(1+$E$11)^(-I28))</f>
        <v>0.906474437239259</v>
      </c>
      <c r="K28" s="22" t="n">
        <f aca="false">IF(A28="","",G28*J28)</f>
        <v>3872.45879588612</v>
      </c>
      <c r="L28" s="23" t="n">
        <f aca="false">IF(A28="","",L27/(1+$B$4*C28/$B$9))</f>
        <v>0.907426523937419</v>
      </c>
      <c r="M28" s="24" t="n">
        <f aca="false">IF(A28="",$B$7+1,B28)</f>
        <v>46718</v>
      </c>
      <c r="N28" s="25" t="n">
        <f aca="false">IF(A28="",0,-G28)</f>
        <v>-4272</v>
      </c>
      <c r="O28" s="25" t="n">
        <f aca="false">IF(A28="",0,-G28)</f>
        <v>-4272</v>
      </c>
    </row>
    <row r="29" customFormat="false" ht="15" hidden="false" customHeight="false" outlineLevel="0" collapsed="false">
      <c r="A29" s="16" t="n">
        <f aca="false">IF(ROW()-17&lt;=$B$5,ROW()-17,"")</f>
        <v>12</v>
      </c>
      <c r="B29" s="17" t="n">
        <f aca="false">IF(A29="","",EDATE($B$8,A29-1))</f>
        <v>46748</v>
      </c>
      <c r="C29" s="16" t="n">
        <f aca="false">IF(A29="","",B29-B28)</f>
        <v>30</v>
      </c>
      <c r="D29" s="19" t="n">
        <f aca="false">IF(A29="","",H28)</f>
        <v>171405</v>
      </c>
      <c r="E29" s="19" t="n">
        <f aca="false">IF(A29="","",ROUND(D29*$B$4*C29/$B$9,0))</f>
        <v>1402</v>
      </c>
      <c r="F29" s="19" t="n">
        <f aca="false">IF(A29="","",G29-E29)</f>
        <v>2870</v>
      </c>
      <c r="G29" s="19" t="n">
        <f aca="false">IF(A29="","",IF(A29=$B$5,D29+E29,$E$3))</f>
        <v>4272</v>
      </c>
      <c r="H29" s="19" t="n">
        <f aca="false">IF(A29="","",D29+E29-G29)</f>
        <v>168535</v>
      </c>
      <c r="I29" s="20" t="n">
        <f aca="false">IF(A29="","",(B29-$B$7)/365)</f>
        <v>1.06301369863014</v>
      </c>
      <c r="J29" s="21" t="n">
        <f aca="false">IF(A29="","",(1+$E$11)^(-I29))</f>
        <v>0.899046190404999</v>
      </c>
      <c r="K29" s="22" t="n">
        <f aca="false">IF(A29="","",G29*J29)</f>
        <v>3840.72532541016</v>
      </c>
      <c r="L29" s="23" t="n">
        <f aca="false">IF(A29="","",L28/(1+$B$4*C29/$B$9))</f>
        <v>0.900065712562083</v>
      </c>
      <c r="M29" s="24" t="n">
        <f aca="false">IF(A29="",$B$7+1,B29)</f>
        <v>46748</v>
      </c>
      <c r="N29" s="25" t="n">
        <f aca="false">IF(A29="",0,-G29)</f>
        <v>-4272</v>
      </c>
      <c r="O29" s="25" t="n">
        <f aca="false">IF(A29="",0,-G29)</f>
        <v>-4272</v>
      </c>
    </row>
    <row r="30" customFormat="false" ht="15" hidden="false" customHeight="false" outlineLevel="0" collapsed="false">
      <c r="A30" s="16" t="n">
        <f aca="false">IF(ROW()-17&lt;=$B$5,ROW()-17,"")</f>
        <v>13</v>
      </c>
      <c r="B30" s="17" t="n">
        <f aca="false">IF(A30="","",EDATE($B$8,A30-1))</f>
        <v>46779</v>
      </c>
      <c r="C30" s="16" t="n">
        <f aca="false">IF(A30="","",B30-B29)</f>
        <v>31</v>
      </c>
      <c r="D30" s="19" t="n">
        <f aca="false">IF(A30="","",H29)</f>
        <v>168535</v>
      </c>
      <c r="E30" s="19" t="n">
        <f aca="false">IF(A30="","",ROUND(D30*$B$4*C30/$B$9,0))</f>
        <v>1424</v>
      </c>
      <c r="F30" s="19" t="n">
        <f aca="false">IF(A30="","",G30-E30)</f>
        <v>2848</v>
      </c>
      <c r="G30" s="19" t="n">
        <f aca="false">IF(A30="","",IF(A30=$B$5,D30+E30,$E$3))</f>
        <v>4272</v>
      </c>
      <c r="H30" s="19" t="n">
        <f aca="false">IF(A30="","",D30+E30-G30)</f>
        <v>165687</v>
      </c>
      <c r="I30" s="20" t="n">
        <f aca="false">IF(A30="","",(B30-$B$7)/365)</f>
        <v>1.14794520547945</v>
      </c>
      <c r="J30" s="21" t="n">
        <f aca="false">IF(A30="","",(1+$E$11)^(-I30))</f>
        <v>0.891434278855846</v>
      </c>
      <c r="K30" s="22" t="n">
        <f aca="false">IF(A30="","",G30*J30)</f>
        <v>3808.20723927217</v>
      </c>
      <c r="L30" s="23" t="n">
        <f aca="false">IF(A30="","",L29/(1+$B$4*C30/$B$9))</f>
        <v>0.892523279532716</v>
      </c>
      <c r="M30" s="24" t="n">
        <f aca="false">IF(A30="",$B$7+1,B30)</f>
        <v>46779</v>
      </c>
      <c r="N30" s="25" t="n">
        <f aca="false">IF(A30="",0,-G30)</f>
        <v>-4272</v>
      </c>
      <c r="O30" s="25" t="n">
        <f aca="false">IF(A30="",0,-G30)</f>
        <v>-4272</v>
      </c>
    </row>
    <row r="31" customFormat="false" ht="15" hidden="false" customHeight="false" outlineLevel="0" collapsed="false">
      <c r="A31" s="16" t="n">
        <f aca="false">IF(ROW()-17&lt;=$B$5,ROW()-17,"")</f>
        <v>14</v>
      </c>
      <c r="B31" s="17" t="n">
        <f aca="false">IF(A31="","",EDATE($B$8,A31-1))</f>
        <v>46810</v>
      </c>
      <c r="C31" s="16" t="n">
        <f aca="false">IF(A31="","",B31-B30)</f>
        <v>31</v>
      </c>
      <c r="D31" s="19" t="n">
        <f aca="false">IF(A31="","",H30)</f>
        <v>165687</v>
      </c>
      <c r="E31" s="19" t="n">
        <f aca="false">IF(A31="","",ROUND(D31*$B$4*C31/$B$9,0))</f>
        <v>1400</v>
      </c>
      <c r="F31" s="19" t="n">
        <f aca="false">IF(A31="","",G31-E31)</f>
        <v>2872</v>
      </c>
      <c r="G31" s="19" t="n">
        <f aca="false">IF(A31="","",IF(A31=$B$5,D31+E31,$E$3))</f>
        <v>4272</v>
      </c>
      <c r="H31" s="19" t="n">
        <f aca="false">IF(A31="","",D31+E31-G31)</f>
        <v>162815</v>
      </c>
      <c r="I31" s="20" t="n">
        <f aca="false">IF(A31="","",(B31-$B$7)/365)</f>
        <v>1.23287671232877</v>
      </c>
      <c r="J31" s="21" t="n">
        <f aca="false">IF(A31="","",(1+$E$11)^(-I31))</f>
        <v>0.883886814715569</v>
      </c>
      <c r="K31" s="22" t="n">
        <f aca="false">IF(A31="","",G31*J31)</f>
        <v>3775.96447246491</v>
      </c>
      <c r="L31" s="23" t="n">
        <f aca="false">IF(A31="","",L30/(1+$B$4*C31/$B$9))</f>
        <v>0.885044051106312</v>
      </c>
      <c r="M31" s="24" t="n">
        <f aca="false">IF(A31="",$B$7+1,B31)</f>
        <v>46810</v>
      </c>
      <c r="N31" s="25" t="n">
        <f aca="false">IF(A31="",0,-G31)</f>
        <v>-4272</v>
      </c>
      <c r="O31" s="25" t="n">
        <f aca="false">IF(A31="",0,-G31)</f>
        <v>-4272</v>
      </c>
    </row>
    <row r="32" customFormat="false" ht="15" hidden="false" customHeight="false" outlineLevel="0" collapsed="false">
      <c r="A32" s="16" t="n">
        <f aca="false">IF(ROW()-17&lt;=$B$5,ROW()-17,"")</f>
        <v>15</v>
      </c>
      <c r="B32" s="17" t="n">
        <f aca="false">IF(A32="","",EDATE($B$8,A32-1))</f>
        <v>46839</v>
      </c>
      <c r="C32" s="16" t="n">
        <f aca="false">IF(A32="","",B32-B31)</f>
        <v>29</v>
      </c>
      <c r="D32" s="19" t="n">
        <f aca="false">IF(A32="","",H31)</f>
        <v>162815</v>
      </c>
      <c r="E32" s="19" t="n">
        <f aca="false">IF(A32="","",ROUND(D32*$B$4*C32/$B$9,0))</f>
        <v>1287</v>
      </c>
      <c r="F32" s="19" t="n">
        <f aca="false">IF(A32="","",G32-E32)</f>
        <v>2985</v>
      </c>
      <c r="G32" s="19" t="n">
        <f aca="false">IF(A32="","",IF(A32=$B$5,D32+E32,$E$3))</f>
        <v>4272</v>
      </c>
      <c r="H32" s="19" t="n">
        <f aca="false">IF(A32="","",D32+E32-G32)</f>
        <v>159830</v>
      </c>
      <c r="I32" s="20" t="n">
        <f aca="false">IF(A32="","",(B32-$B$7)/365)</f>
        <v>1.31232876712329</v>
      </c>
      <c r="J32" s="21" t="n">
        <f aca="false">IF(A32="","",(1+$E$11)^(-I32))</f>
        <v>0.876884145007204</v>
      </c>
      <c r="K32" s="22" t="n">
        <f aca="false">IF(A32="","",G32*J32)</f>
        <v>3746.04906747077</v>
      </c>
      <c r="L32" s="23" t="n">
        <f aca="false">IF(A32="","",L31/(1+$B$4*C32/$B$9))</f>
        <v>0.87810223195479</v>
      </c>
      <c r="M32" s="24" t="n">
        <f aca="false">IF(A32="",$B$7+1,B32)</f>
        <v>46839</v>
      </c>
      <c r="N32" s="25" t="n">
        <f aca="false">IF(A32="",0,-G32)</f>
        <v>-4272</v>
      </c>
      <c r="O32" s="25" t="n">
        <f aca="false">IF(A32="",0,-G32)</f>
        <v>-4272</v>
      </c>
    </row>
    <row r="33" customFormat="false" ht="15" hidden="false" customHeight="false" outlineLevel="0" collapsed="false">
      <c r="A33" s="16" t="n">
        <f aca="false">IF(ROW()-17&lt;=$B$5,ROW()-17,"")</f>
        <v>16</v>
      </c>
      <c r="B33" s="17" t="n">
        <f aca="false">IF(A33="","",EDATE($B$8,A33-1))</f>
        <v>46870</v>
      </c>
      <c r="C33" s="16" t="n">
        <f aca="false">IF(A33="","",B33-B32)</f>
        <v>31</v>
      </c>
      <c r="D33" s="19" t="n">
        <f aca="false">IF(A33="","",H32)</f>
        <v>159830</v>
      </c>
      <c r="E33" s="19" t="n">
        <f aca="false">IF(A33="","",ROUND(D33*$B$4*C33/$B$9,0))</f>
        <v>1351</v>
      </c>
      <c r="F33" s="19" t="n">
        <f aca="false">IF(A33="","",G33-E33)</f>
        <v>2921</v>
      </c>
      <c r="G33" s="19" t="n">
        <f aca="false">IF(A33="","",IF(A33=$B$5,D33+E33,$E$3))</f>
        <v>4272</v>
      </c>
      <c r="H33" s="19" t="n">
        <f aca="false">IF(A33="","",D33+E33-G33)</f>
        <v>156909</v>
      </c>
      <c r="I33" s="20" t="n">
        <f aca="false">IF(A33="","",(B33-$B$7)/365)</f>
        <v>1.3972602739726</v>
      </c>
      <c r="J33" s="21" t="n">
        <f aca="false">IF(A33="","",(1+$E$11)^(-I33))</f>
        <v>0.869459871792005</v>
      </c>
      <c r="K33" s="22" t="n">
        <f aca="false">IF(A33="","",G33*J33)</f>
        <v>3714.33257229545</v>
      </c>
      <c r="L33" s="23" t="n">
        <f aca="false">IF(A33="","",L32/(1+$B$4*C33/$B$9))</f>
        <v>0.870743850022205</v>
      </c>
      <c r="M33" s="24" t="n">
        <f aca="false">IF(A33="",$B$7+1,B33)</f>
        <v>46870</v>
      </c>
      <c r="N33" s="25" t="n">
        <f aca="false">IF(A33="",0,-G33)</f>
        <v>-4272</v>
      </c>
      <c r="O33" s="25" t="n">
        <f aca="false">IF(A33="",0,-G33)</f>
        <v>-4272</v>
      </c>
    </row>
    <row r="34" customFormat="false" ht="15" hidden="false" customHeight="false" outlineLevel="0" collapsed="false">
      <c r="A34" s="16" t="n">
        <f aca="false">IF(ROW()-17&lt;=$B$5,ROW()-17,"")</f>
        <v>17</v>
      </c>
      <c r="B34" s="17" t="n">
        <f aca="false">IF(A34="","",EDATE($B$8,A34-1))</f>
        <v>46900</v>
      </c>
      <c r="C34" s="16" t="n">
        <f aca="false">IF(A34="","",B34-B33)</f>
        <v>30</v>
      </c>
      <c r="D34" s="19" t="n">
        <f aca="false">IF(A34="","",H33)</f>
        <v>156909</v>
      </c>
      <c r="E34" s="19" t="n">
        <f aca="false">IF(A34="","",ROUND(D34*$B$4*C34/$B$9,0))</f>
        <v>1283</v>
      </c>
      <c r="F34" s="19" t="n">
        <f aca="false">IF(A34="","",G34-E34)</f>
        <v>2989</v>
      </c>
      <c r="G34" s="19" t="n">
        <f aca="false">IF(A34="","",IF(A34=$B$5,D34+E34,$E$3))</f>
        <v>4272</v>
      </c>
      <c r="H34" s="19" t="n">
        <f aca="false">IF(A34="","",D34+E34-G34)</f>
        <v>153920</v>
      </c>
      <c r="I34" s="20" t="n">
        <f aca="false">IF(A34="","",(B34-$B$7)/365)</f>
        <v>1.47945205479452</v>
      </c>
      <c r="J34" s="21" t="n">
        <f aca="false">IF(A34="","",(1+$E$11)^(-I34))</f>
        <v>0.862334946615047</v>
      </c>
      <c r="K34" s="22" t="n">
        <f aca="false">IF(A34="","",G34*J34)</f>
        <v>3683.89489193948</v>
      </c>
      <c r="L34" s="23" t="n">
        <f aca="false">IF(A34="","",L33/(1+$B$4*C34/$B$9))</f>
        <v>0.863680599095357</v>
      </c>
      <c r="M34" s="24" t="n">
        <f aca="false">IF(A34="",$B$7+1,B34)</f>
        <v>46900</v>
      </c>
      <c r="N34" s="25" t="n">
        <f aca="false">IF(A34="",0,-G34)</f>
        <v>-4272</v>
      </c>
      <c r="O34" s="25" t="n">
        <f aca="false">IF(A34="",0,-G34)</f>
        <v>-4272</v>
      </c>
    </row>
    <row r="35" customFormat="false" ht="15" hidden="false" customHeight="false" outlineLevel="0" collapsed="false">
      <c r="A35" s="16" t="n">
        <f aca="false">IF(ROW()-17&lt;=$B$5,ROW()-17,"")</f>
        <v>18</v>
      </c>
      <c r="B35" s="17" t="n">
        <f aca="false">IF(A35="","",EDATE($B$8,A35-1))</f>
        <v>46931</v>
      </c>
      <c r="C35" s="16" t="n">
        <f aca="false">IF(A35="","",B35-B34)</f>
        <v>31</v>
      </c>
      <c r="D35" s="19" t="n">
        <f aca="false">IF(A35="","",H34)</f>
        <v>153920</v>
      </c>
      <c r="E35" s="19" t="n">
        <f aca="false">IF(A35="","",ROUND(D35*$B$4*C35/$B$9,0))</f>
        <v>1301</v>
      </c>
      <c r="F35" s="19" t="n">
        <f aca="false">IF(A35="","",G35-E35)</f>
        <v>2971</v>
      </c>
      <c r="G35" s="19" t="n">
        <f aca="false">IF(A35="","",IF(A35=$B$5,D35+E35,$E$3))</f>
        <v>4272</v>
      </c>
      <c r="H35" s="19" t="n">
        <f aca="false">IF(A35="","",D35+E35-G35)</f>
        <v>150949</v>
      </c>
      <c r="I35" s="20" t="n">
        <f aca="false">IF(A35="","",(B35-$B$7)/365)</f>
        <v>1.56438356164384</v>
      </c>
      <c r="J35" s="21" t="n">
        <f aca="false">IF(A35="","",(1+$E$11)^(-I35))</f>
        <v>0.855033856404742</v>
      </c>
      <c r="K35" s="22" t="n">
        <f aca="false">IF(A35="","",G35*J35)</f>
        <v>3652.70463456106</v>
      </c>
      <c r="L35" s="23" t="n">
        <f aca="false">IF(A35="","",L34/(1+$B$4*C35/$B$9))</f>
        <v>0.856443068561174</v>
      </c>
      <c r="M35" s="24" t="n">
        <f aca="false">IF(A35="",$B$7+1,B35)</f>
        <v>46931</v>
      </c>
      <c r="N35" s="25" t="n">
        <f aca="false">IF(A35="",0,-G35)</f>
        <v>-4272</v>
      </c>
      <c r="O35" s="25" t="n">
        <f aca="false">IF(A35="",0,-G35)</f>
        <v>-4272</v>
      </c>
    </row>
    <row r="36" customFormat="false" ht="15" hidden="false" customHeight="false" outlineLevel="0" collapsed="false">
      <c r="A36" s="16" t="n">
        <f aca="false">IF(ROW()-17&lt;=$B$5,ROW()-17,"")</f>
        <v>19</v>
      </c>
      <c r="B36" s="17" t="n">
        <f aca="false">IF(A36="","",EDATE($B$8,A36-1))</f>
        <v>46961</v>
      </c>
      <c r="C36" s="16" t="n">
        <f aca="false">IF(A36="","",B36-B35)</f>
        <v>30</v>
      </c>
      <c r="D36" s="19" t="n">
        <f aca="false">IF(A36="","",H35)</f>
        <v>150949</v>
      </c>
      <c r="E36" s="19" t="n">
        <f aca="false">IF(A36="","",ROUND(D36*$B$4*C36/$B$9,0))</f>
        <v>1234</v>
      </c>
      <c r="F36" s="19" t="n">
        <f aca="false">IF(A36="","",G36-E36)</f>
        <v>3038</v>
      </c>
      <c r="G36" s="19" t="n">
        <f aca="false">IF(A36="","",IF(A36=$B$5,D36+E36,$E$3))</f>
        <v>4272</v>
      </c>
      <c r="H36" s="19" t="n">
        <f aca="false">IF(A36="","",D36+E36-G36)</f>
        <v>147911</v>
      </c>
      <c r="I36" s="20" t="n">
        <f aca="false">IF(A36="","",(B36-$B$7)/365)</f>
        <v>1.64657534246575</v>
      </c>
      <c r="J36" s="21" t="n">
        <f aca="false">IF(A36="","",(1+$E$11)^(-I36))</f>
        <v>0.84802714747165</v>
      </c>
      <c r="K36" s="22" t="n">
        <f aca="false">IF(A36="","",G36*J36)</f>
        <v>3622.77197399889</v>
      </c>
      <c r="L36" s="23" t="n">
        <f aca="false">IF(A36="","",L35/(1+$B$4*C36/$B$9))</f>
        <v>0.849495821908035</v>
      </c>
      <c r="M36" s="24" t="n">
        <f aca="false">IF(A36="",$B$7+1,B36)</f>
        <v>46961</v>
      </c>
      <c r="N36" s="25" t="n">
        <f aca="false">IF(A36="",0,-G36)</f>
        <v>-4272</v>
      </c>
      <c r="O36" s="25" t="n">
        <f aca="false">IF(A36="",0,-G36)</f>
        <v>-4272</v>
      </c>
    </row>
    <row r="37" customFormat="false" ht="15" hidden="false" customHeight="false" outlineLevel="0" collapsed="false">
      <c r="A37" s="16" t="n">
        <f aca="false">IF(ROW()-17&lt;=$B$5,ROW()-17,"")</f>
        <v>20</v>
      </c>
      <c r="B37" s="17" t="n">
        <f aca="false">IF(A37="","",EDATE($B$8,A37-1))</f>
        <v>46992</v>
      </c>
      <c r="C37" s="16" t="n">
        <f aca="false">IF(A37="","",B37-B36)</f>
        <v>31</v>
      </c>
      <c r="D37" s="19" t="n">
        <f aca="false">IF(A37="","",H36)</f>
        <v>147911</v>
      </c>
      <c r="E37" s="19" t="n">
        <f aca="false">IF(A37="","",ROUND(D37*$B$4*C37/$B$9,0))</f>
        <v>1250</v>
      </c>
      <c r="F37" s="19" t="n">
        <f aca="false">IF(A37="","",G37-E37)</f>
        <v>3022</v>
      </c>
      <c r="G37" s="19" t="n">
        <f aca="false">IF(A37="","",IF(A37=$B$5,D37+E37,$E$3))</f>
        <v>4272</v>
      </c>
      <c r="H37" s="19" t="n">
        <f aca="false">IF(A37="","",D37+E37-G37)</f>
        <v>144889</v>
      </c>
      <c r="I37" s="20" t="n">
        <f aca="false">IF(A37="","",(B37-$B$7)/365)</f>
        <v>1.73150684931507</v>
      </c>
      <c r="J37" s="21" t="n">
        <f aca="false">IF(A37="","",(1+$E$11)^(-I37))</f>
        <v>0.840847196422719</v>
      </c>
      <c r="K37" s="22" t="n">
        <f aca="false">IF(A37="","",G37*J37)</f>
        <v>3592.09922311786</v>
      </c>
      <c r="L37" s="23" t="n">
        <f aca="false">IF(A37="","",L36/(1+$B$4*C37/$B$9))</f>
        <v>0.842377157952679</v>
      </c>
      <c r="M37" s="24" t="n">
        <f aca="false">IF(A37="",$B$7+1,B37)</f>
        <v>46992</v>
      </c>
      <c r="N37" s="25" t="n">
        <f aca="false">IF(A37="",0,-G37)</f>
        <v>-4272</v>
      </c>
      <c r="O37" s="25" t="n">
        <f aca="false">IF(A37="",0,-G37)</f>
        <v>-4272</v>
      </c>
    </row>
    <row r="38" customFormat="false" ht="15" hidden="false" customHeight="false" outlineLevel="0" collapsed="false">
      <c r="A38" s="16" t="n">
        <f aca="false">IF(ROW()-17&lt;=$B$5,ROW()-17,"")</f>
        <v>21</v>
      </c>
      <c r="B38" s="17" t="n">
        <f aca="false">IF(A38="","",EDATE($B$8,A38-1))</f>
        <v>47023</v>
      </c>
      <c r="C38" s="16" t="n">
        <f aca="false">IF(A38="","",B38-B37)</f>
        <v>31</v>
      </c>
      <c r="D38" s="19" t="n">
        <f aca="false">IF(A38="","",H37)</f>
        <v>144889</v>
      </c>
      <c r="E38" s="19" t="n">
        <f aca="false">IF(A38="","",ROUND(D38*$B$4*C38/$B$9,0))</f>
        <v>1224</v>
      </c>
      <c r="F38" s="19" t="n">
        <f aca="false">IF(A38="","",G38-E38)</f>
        <v>3048</v>
      </c>
      <c r="G38" s="19" t="n">
        <f aca="false">IF(A38="","",IF(A38=$B$5,D38+E38,$E$3))</f>
        <v>4272</v>
      </c>
      <c r="H38" s="19" t="n">
        <f aca="false">IF(A38="","",D38+E38-G38)</f>
        <v>141841</v>
      </c>
      <c r="I38" s="20" t="n">
        <f aca="false">IF(A38="","",(B38-$B$7)/365)</f>
        <v>1.81643835616438</v>
      </c>
      <c r="J38" s="21" t="n">
        <f aca="false">IF(A38="","",(1+$E$11)^(-I38))</f>
        <v>0.833728035523277</v>
      </c>
      <c r="K38" s="22" t="n">
        <f aca="false">IF(A38="","",G38*J38)</f>
        <v>3561.68616775544</v>
      </c>
      <c r="L38" s="23" t="n">
        <f aca="false">IF(A38="","",L37/(1+$B$4*C38/$B$9))</f>
        <v>0.835318147470833</v>
      </c>
      <c r="M38" s="24" t="n">
        <f aca="false">IF(A38="",$B$7+1,B38)</f>
        <v>47023</v>
      </c>
      <c r="N38" s="25" t="n">
        <f aca="false">IF(A38="",0,-G38)</f>
        <v>-4272</v>
      </c>
      <c r="O38" s="25" t="n">
        <f aca="false">IF(A38="",0,-G38)</f>
        <v>-4272</v>
      </c>
    </row>
    <row r="39" customFormat="false" ht="15" hidden="false" customHeight="false" outlineLevel="0" collapsed="false">
      <c r="A39" s="16" t="n">
        <f aca="false">IF(ROW()-17&lt;=$B$5,ROW()-17,"")</f>
        <v>22</v>
      </c>
      <c r="B39" s="17" t="n">
        <f aca="false">IF(A39="","",EDATE($B$8,A39-1))</f>
        <v>47053</v>
      </c>
      <c r="C39" s="16" t="n">
        <f aca="false">IF(A39="","",B39-B38)</f>
        <v>30</v>
      </c>
      <c r="D39" s="19" t="n">
        <f aca="false">IF(A39="","",H38)</f>
        <v>141841</v>
      </c>
      <c r="E39" s="19" t="n">
        <f aca="false">IF(A39="","",ROUND(D39*$B$4*C39/$B$9,0))</f>
        <v>1160</v>
      </c>
      <c r="F39" s="19" t="n">
        <f aca="false">IF(A39="","",G39-E39)</f>
        <v>3112</v>
      </c>
      <c r="G39" s="19" t="n">
        <f aca="false">IF(A39="","",IF(A39=$B$5,D39+E39,$E$3))</f>
        <v>4272</v>
      </c>
      <c r="H39" s="19" t="n">
        <f aca="false">IF(A39="","",D39+E39-G39)</f>
        <v>138729</v>
      </c>
      <c r="I39" s="20" t="n">
        <f aca="false">IF(A39="","",(B39-$B$7)/365)</f>
        <v>1.8986301369863</v>
      </c>
      <c r="J39" s="21" t="n">
        <f aca="false">IF(A39="","",(1+$E$11)^(-I39))</f>
        <v>0.826895920478344</v>
      </c>
      <c r="K39" s="22" t="n">
        <f aca="false">IF(A39="","",G39*J39)</f>
        <v>3532.49937228348</v>
      </c>
      <c r="L39" s="23" t="n">
        <f aca="false">IF(A39="","",L38/(1+$B$4*C39/$B$9))</f>
        <v>0.82854226076295</v>
      </c>
      <c r="M39" s="24" t="n">
        <f aca="false">IF(A39="",$B$7+1,B39)</f>
        <v>47053</v>
      </c>
      <c r="N39" s="25" t="n">
        <f aca="false">IF(A39="",0,-G39)</f>
        <v>-4272</v>
      </c>
      <c r="O39" s="25" t="n">
        <f aca="false">IF(A39="",0,-G39)</f>
        <v>-4272</v>
      </c>
    </row>
    <row r="40" customFormat="false" ht="15" hidden="false" customHeight="false" outlineLevel="0" collapsed="false">
      <c r="A40" s="16" t="n">
        <f aca="false">IF(ROW()-17&lt;=$B$5,ROW()-17,"")</f>
        <v>23</v>
      </c>
      <c r="B40" s="17" t="n">
        <f aca="false">IF(A40="","",EDATE($B$8,A40-1))</f>
        <v>47084</v>
      </c>
      <c r="C40" s="16" t="n">
        <f aca="false">IF(A40="","",B40-B39)</f>
        <v>31</v>
      </c>
      <c r="D40" s="19" t="n">
        <f aca="false">IF(A40="","",H39)</f>
        <v>138729</v>
      </c>
      <c r="E40" s="19" t="n">
        <f aca="false">IF(A40="","",ROUND(D40*$B$4*C40/$B$9,0))</f>
        <v>1172</v>
      </c>
      <c r="F40" s="19" t="n">
        <f aca="false">IF(A40="","",G40-E40)</f>
        <v>3100</v>
      </c>
      <c r="G40" s="19" t="n">
        <f aca="false">IF(A40="","",IF(A40=$B$5,D40+E40,$E$3))</f>
        <v>4272</v>
      </c>
      <c r="H40" s="19" t="n">
        <f aca="false">IF(A40="","",D40+E40-G40)</f>
        <v>135629</v>
      </c>
      <c r="I40" s="20" t="n">
        <f aca="false">IF(A40="","",(B40-$B$7)/365)</f>
        <v>1.98356164383562</v>
      </c>
      <c r="J40" s="21" t="n">
        <f aca="false">IF(A40="","",(1+$E$11)^(-I40))</f>
        <v>0.819894880182292</v>
      </c>
      <c r="K40" s="22" t="n">
        <f aca="false">IF(A40="","",G40*J40)</f>
        <v>3502.59092813875</v>
      </c>
      <c r="L40" s="23" t="n">
        <f aca="false">IF(A40="","",L39/(1+$B$4*C40/$B$9))</f>
        <v>0.821599184911282</v>
      </c>
      <c r="M40" s="24" t="n">
        <f aca="false">IF(A40="",$B$7+1,B40)</f>
        <v>47084</v>
      </c>
      <c r="N40" s="25" t="n">
        <f aca="false">IF(A40="",0,-G40)</f>
        <v>-4272</v>
      </c>
      <c r="O40" s="25" t="n">
        <f aca="false">IF(A40="",0,-G40)</f>
        <v>-4272</v>
      </c>
    </row>
    <row r="41" customFormat="false" ht="15" hidden="false" customHeight="false" outlineLevel="0" collapsed="false">
      <c r="A41" s="16" t="n">
        <f aca="false">IF(ROW()-17&lt;=$B$5,ROW()-17,"")</f>
        <v>24</v>
      </c>
      <c r="B41" s="17" t="n">
        <f aca="false">IF(A41="","",EDATE($B$8,A41-1))</f>
        <v>47114</v>
      </c>
      <c r="C41" s="16" t="n">
        <f aca="false">IF(A41="","",B41-B40)</f>
        <v>30</v>
      </c>
      <c r="D41" s="19" t="n">
        <f aca="false">IF(A41="","",H40)</f>
        <v>135629</v>
      </c>
      <c r="E41" s="19" t="n">
        <f aca="false">IF(A41="","",ROUND(D41*$B$4*C41/$B$9,0))</f>
        <v>1109</v>
      </c>
      <c r="F41" s="19" t="n">
        <f aca="false">IF(A41="","",G41-E41)</f>
        <v>3163</v>
      </c>
      <c r="G41" s="19" t="n">
        <f aca="false">IF(A41="","",IF(A41=$B$5,D41+E41,$E$3))</f>
        <v>4272</v>
      </c>
      <c r="H41" s="19" t="n">
        <f aca="false">IF(A41="","",D41+E41-G41)</f>
        <v>132466</v>
      </c>
      <c r="I41" s="20" t="n">
        <f aca="false">IF(A41="","",(B41-$B$7)/365)</f>
        <v>2.06575342465753</v>
      </c>
      <c r="J41" s="21" t="n">
        <f aca="false">IF(A41="","",(1+$E$11)^(-I41))</f>
        <v>0.813176123096666</v>
      </c>
      <c r="K41" s="22" t="n">
        <f aca="false">IF(A41="","",G41*J41)</f>
        <v>3473.88839786896</v>
      </c>
      <c r="L41" s="23" t="n">
        <f aca="false">IF(A41="","",L40/(1+$B$4*C41/$B$9))</f>
        <v>0.814934582911309</v>
      </c>
      <c r="M41" s="24" t="n">
        <f aca="false">IF(A41="",$B$7+1,B41)</f>
        <v>47114</v>
      </c>
      <c r="N41" s="25" t="n">
        <f aca="false">IF(A41="",0,-G41)</f>
        <v>-4272</v>
      </c>
      <c r="O41" s="25" t="n">
        <f aca="false">IF(A41="",0,-G41)</f>
        <v>-4272</v>
      </c>
    </row>
    <row r="42" customFormat="false" ht="15" hidden="false" customHeight="false" outlineLevel="0" collapsed="false">
      <c r="A42" s="16" t="n">
        <f aca="false">IF(ROW()-17&lt;=$B$5,ROW()-17,"")</f>
        <v>25</v>
      </c>
      <c r="B42" s="17" t="n">
        <f aca="false">IF(A42="","",EDATE($B$8,A42-1))</f>
        <v>47145</v>
      </c>
      <c r="C42" s="16" t="n">
        <f aca="false">IF(A42="","",B42-B41)</f>
        <v>31</v>
      </c>
      <c r="D42" s="19" t="n">
        <f aca="false">IF(A42="","",H41)</f>
        <v>132466</v>
      </c>
      <c r="E42" s="19" t="n">
        <f aca="false">IF(A42="","",ROUND(D42*$B$4*C42/$B$9,0))</f>
        <v>1119</v>
      </c>
      <c r="F42" s="19" t="n">
        <f aca="false">IF(A42="","",G42-E42)</f>
        <v>3153</v>
      </c>
      <c r="G42" s="19" t="n">
        <f aca="false">IF(A42="","",IF(A42=$B$5,D42+E42,$E$3))</f>
        <v>4272</v>
      </c>
      <c r="H42" s="19" t="n">
        <f aca="false">IF(A42="","",D42+E42-G42)</f>
        <v>129313</v>
      </c>
      <c r="I42" s="20" t="n">
        <f aca="false">IF(A42="","",(B42-$B$7)/365)</f>
        <v>2.15068493150685</v>
      </c>
      <c r="J42" s="21" t="n">
        <f aca="false">IF(A42="","",(1+$E$11)^(-I42))</f>
        <v>0.806291243555485</v>
      </c>
      <c r="K42" s="22" t="n">
        <f aca="false">IF(A42="","",G42*J42)</f>
        <v>3444.47619246903</v>
      </c>
      <c r="L42" s="23" t="n">
        <f aca="false">IF(A42="","",L41/(1+$B$4*C42/$B$9))</f>
        <v>0.808105537621464</v>
      </c>
      <c r="M42" s="24" t="n">
        <f aca="false">IF(A42="",$B$7+1,B42)</f>
        <v>47145</v>
      </c>
      <c r="N42" s="25" t="n">
        <f aca="false">IF(A42="",0,-G42)</f>
        <v>-4272</v>
      </c>
      <c r="O42" s="25" t="n">
        <f aca="false">IF(A42="",0,-G42)</f>
        <v>-4272</v>
      </c>
    </row>
    <row r="43" customFormat="false" ht="15" hidden="false" customHeight="false" outlineLevel="0" collapsed="false">
      <c r="A43" s="16" t="n">
        <f aca="false">IF(ROW()-17&lt;=$B$5,ROW()-17,"")</f>
        <v>26</v>
      </c>
      <c r="B43" s="17" t="n">
        <f aca="false">IF(A43="","",EDATE($B$8,A43-1))</f>
        <v>47176</v>
      </c>
      <c r="C43" s="16" t="n">
        <f aca="false">IF(A43="","",B43-B42)</f>
        <v>31</v>
      </c>
      <c r="D43" s="19" t="n">
        <f aca="false">IF(A43="","",H42)</f>
        <v>129313</v>
      </c>
      <c r="E43" s="19" t="n">
        <f aca="false">IF(A43="","",ROUND(D43*$B$4*C43/$B$9,0))</f>
        <v>1093</v>
      </c>
      <c r="F43" s="19" t="n">
        <f aca="false">IF(A43="","",G43-E43)</f>
        <v>3179</v>
      </c>
      <c r="G43" s="19" t="n">
        <f aca="false">IF(A43="","",IF(A43=$B$5,D43+E43,$E$3))</f>
        <v>4272</v>
      </c>
      <c r="H43" s="19" t="n">
        <f aca="false">IF(A43="","",D43+E43-G43)</f>
        <v>126134</v>
      </c>
      <c r="I43" s="20" t="n">
        <f aca="false">IF(A43="","",(B43-$B$7)/365)</f>
        <v>2.23561643835616</v>
      </c>
      <c r="J43" s="21" t="n">
        <f aca="false">IF(A43="","",(1+$E$11)^(-I43))</f>
        <v>0.799464655895916</v>
      </c>
      <c r="K43" s="22" t="n">
        <f aca="false">IF(A43="","",G43*J43)</f>
        <v>3415.31300998735</v>
      </c>
      <c r="L43" s="23" t="n">
        <f aca="false">IF(A43="","",L42/(1+$B$4*C43/$B$9))</f>
        <v>0.801333718838566</v>
      </c>
      <c r="M43" s="24" t="n">
        <f aca="false">IF(A43="",$B$7+1,B43)</f>
        <v>47176</v>
      </c>
      <c r="N43" s="25" t="n">
        <f aca="false">IF(A43="",0,-G43)</f>
        <v>-4272</v>
      </c>
      <c r="O43" s="25" t="n">
        <f aca="false">IF(A43="",0,-G43)</f>
        <v>-4272</v>
      </c>
    </row>
    <row r="44" customFormat="false" ht="15" hidden="false" customHeight="false" outlineLevel="0" collapsed="false">
      <c r="A44" s="16" t="n">
        <f aca="false">IF(ROW()-17&lt;=$B$5,ROW()-17,"")</f>
        <v>27</v>
      </c>
      <c r="B44" s="17" t="n">
        <f aca="false">IF(A44="","",EDATE($B$8,A44-1))</f>
        <v>47204</v>
      </c>
      <c r="C44" s="16" t="n">
        <f aca="false">IF(A44="","",B44-B43)</f>
        <v>28</v>
      </c>
      <c r="D44" s="19" t="n">
        <f aca="false">IF(A44="","",H43)</f>
        <v>126134</v>
      </c>
      <c r="E44" s="19" t="n">
        <f aca="false">IF(A44="","",ROUND(D44*$B$4*C44/$B$9,0))</f>
        <v>963</v>
      </c>
      <c r="F44" s="19" t="n">
        <f aca="false">IF(A44="","",G44-E44)</f>
        <v>3309</v>
      </c>
      <c r="G44" s="19" t="n">
        <f aca="false">IF(A44="","",IF(A44=$B$5,D44+E44,$E$3))</f>
        <v>4272</v>
      </c>
      <c r="H44" s="19" t="n">
        <f aca="false">IF(A44="","",D44+E44-G44)</f>
        <v>122825</v>
      </c>
      <c r="I44" s="20" t="n">
        <f aca="false">IF(A44="","",(B44-$B$7)/365)</f>
        <v>2.31232876712329</v>
      </c>
      <c r="J44" s="21" t="n">
        <f aca="false">IF(A44="","",(1+$E$11)^(-I44))</f>
        <v>0.793348398261657</v>
      </c>
      <c r="K44" s="22" t="n">
        <f aca="false">IF(A44="","",G44*J44)</f>
        <v>3389.1843573738</v>
      </c>
      <c r="L44" s="23" t="n">
        <f aca="false">IF(A44="","",L43/(1+$B$4*C44/$B$9))</f>
        <v>0.795263570054533</v>
      </c>
      <c r="M44" s="24" t="n">
        <f aca="false">IF(A44="",$B$7+1,B44)</f>
        <v>47204</v>
      </c>
      <c r="N44" s="25" t="n">
        <f aca="false">IF(A44="",0,-G44)</f>
        <v>-4272</v>
      </c>
      <c r="O44" s="25" t="n">
        <f aca="false">IF(A44="",0,-G44)</f>
        <v>-4272</v>
      </c>
    </row>
    <row r="45" customFormat="false" ht="15" hidden="false" customHeight="false" outlineLevel="0" collapsed="false">
      <c r="A45" s="16" t="n">
        <f aca="false">IF(ROW()-17&lt;=$B$5,ROW()-17,"")</f>
        <v>28</v>
      </c>
      <c r="B45" s="17" t="n">
        <f aca="false">IF(A45="","",EDATE($B$8,A45-1))</f>
        <v>47235</v>
      </c>
      <c r="C45" s="16" t="n">
        <f aca="false">IF(A45="","",B45-B44)</f>
        <v>31</v>
      </c>
      <c r="D45" s="19" t="n">
        <f aca="false">IF(A45="","",H44)</f>
        <v>122825</v>
      </c>
      <c r="E45" s="19" t="n">
        <f aca="false">IF(A45="","",ROUND(D45*$B$4*C45/$B$9,0))</f>
        <v>1038</v>
      </c>
      <c r="F45" s="19" t="n">
        <f aca="false">IF(A45="","",G45-E45)</f>
        <v>3234</v>
      </c>
      <c r="G45" s="19" t="n">
        <f aca="false">IF(A45="","",IF(A45=$B$5,D45+E45,$E$3))</f>
        <v>4272</v>
      </c>
      <c r="H45" s="19" t="n">
        <f aca="false">IF(A45="","",D45+E45-G45)</f>
        <v>119591</v>
      </c>
      <c r="I45" s="20" t="n">
        <f aca="false">IF(A45="","",(B45-$B$7)/365)</f>
        <v>2.3972602739726</v>
      </c>
      <c r="J45" s="21" t="n">
        <f aca="false">IF(A45="","",(1+$E$11)^(-I45))</f>
        <v>0.786631393173731</v>
      </c>
      <c r="K45" s="22" t="n">
        <f aca="false">IF(A45="","",G45*J45)</f>
        <v>3360.48931163818</v>
      </c>
      <c r="L45" s="23" t="n">
        <f aca="false">IF(A45="","",L44/(1+$B$4*C45/$B$9))</f>
        <v>0.788599365281354</v>
      </c>
      <c r="M45" s="24" t="n">
        <f aca="false">IF(A45="",$B$7+1,B45)</f>
        <v>47235</v>
      </c>
      <c r="N45" s="25" t="n">
        <f aca="false">IF(A45="",0,-G45)</f>
        <v>-4272</v>
      </c>
      <c r="O45" s="25" t="n">
        <f aca="false">IF(A45="",0,-G45)</f>
        <v>-4272</v>
      </c>
    </row>
    <row r="46" customFormat="false" ht="15" hidden="false" customHeight="false" outlineLevel="0" collapsed="false">
      <c r="A46" s="16" t="n">
        <f aca="false">IF(ROW()-17&lt;=$B$5,ROW()-17,"")</f>
        <v>29</v>
      </c>
      <c r="B46" s="17" t="n">
        <f aca="false">IF(A46="","",EDATE($B$8,A46-1))</f>
        <v>47265</v>
      </c>
      <c r="C46" s="16" t="n">
        <f aca="false">IF(A46="","",B46-B45)</f>
        <v>30</v>
      </c>
      <c r="D46" s="19" t="n">
        <f aca="false">IF(A46="","",H45)</f>
        <v>119591</v>
      </c>
      <c r="E46" s="19" t="n">
        <f aca="false">IF(A46="","",ROUND(D46*$B$4*C46/$B$9,0))</f>
        <v>978</v>
      </c>
      <c r="F46" s="19" t="n">
        <f aca="false">IF(A46="","",G46-E46)</f>
        <v>3294</v>
      </c>
      <c r="G46" s="19" t="n">
        <f aca="false">IF(A46="","",IF(A46=$B$5,D46+E46,$E$3))</f>
        <v>4272</v>
      </c>
      <c r="H46" s="19" t="n">
        <f aca="false">IF(A46="","",D46+E46-G46)</f>
        <v>116297</v>
      </c>
      <c r="I46" s="20" t="n">
        <f aca="false">IF(A46="","",(B46-$B$7)/365)</f>
        <v>2.47945205479452</v>
      </c>
      <c r="J46" s="21" t="n">
        <f aca="false">IF(A46="","",(1+$E$11)^(-I46))</f>
        <v>0.78018521894529</v>
      </c>
      <c r="K46" s="22" t="n">
        <f aca="false">IF(A46="","",G46*J46)</f>
        <v>3332.95125533428</v>
      </c>
      <c r="L46" s="23" t="n">
        <f aca="false">IF(A46="","",L45/(1+$B$4*C46/$B$9))</f>
        <v>0.782202449359877</v>
      </c>
      <c r="M46" s="24" t="n">
        <f aca="false">IF(A46="",$B$7+1,B46)</f>
        <v>47265</v>
      </c>
      <c r="N46" s="25" t="n">
        <f aca="false">IF(A46="",0,-G46)</f>
        <v>-4272</v>
      </c>
      <c r="O46" s="25" t="n">
        <f aca="false">IF(A46="",0,-G46)</f>
        <v>-4272</v>
      </c>
    </row>
    <row r="47" customFormat="false" ht="15" hidden="false" customHeight="false" outlineLevel="0" collapsed="false">
      <c r="A47" s="16" t="n">
        <f aca="false">IF(ROW()-17&lt;=$B$5,ROW()-17,"")</f>
        <v>30</v>
      </c>
      <c r="B47" s="17" t="n">
        <f aca="false">IF(A47="","",EDATE($B$8,A47-1))</f>
        <v>47296</v>
      </c>
      <c r="C47" s="16" t="n">
        <f aca="false">IF(A47="","",B47-B46)</f>
        <v>31</v>
      </c>
      <c r="D47" s="19" t="n">
        <f aca="false">IF(A47="","",H46)</f>
        <v>116297</v>
      </c>
      <c r="E47" s="19" t="n">
        <f aca="false">IF(A47="","",ROUND(D47*$B$4*C47/$B$9,0))</f>
        <v>983</v>
      </c>
      <c r="F47" s="19" t="n">
        <f aca="false">IF(A47="","",G47-E47)</f>
        <v>3289</v>
      </c>
      <c r="G47" s="19" t="n">
        <f aca="false">IF(A47="","",IF(A47=$B$5,D47+E47,$E$3))</f>
        <v>4272</v>
      </c>
      <c r="H47" s="19" t="n">
        <f aca="false">IF(A47="","",D47+E47-G47)</f>
        <v>113008</v>
      </c>
      <c r="I47" s="20" t="n">
        <f aca="false">IF(A47="","",(B47-$B$7)/365)</f>
        <v>2.56438356164384</v>
      </c>
      <c r="J47" s="21" t="n">
        <f aca="false">IF(A47="","",(1+$E$11)^(-I47))</f>
        <v>0.77357966192058</v>
      </c>
      <c r="K47" s="22" t="n">
        <f aca="false">IF(A47="","",G47*J47)</f>
        <v>3304.73231572472</v>
      </c>
      <c r="L47" s="23" t="n">
        <f aca="false">IF(A47="","",L46/(1+$B$4*C47/$B$9))</f>
        <v>0.775647695070983</v>
      </c>
      <c r="M47" s="24" t="n">
        <f aca="false">IF(A47="",$B$7+1,B47)</f>
        <v>47296</v>
      </c>
      <c r="N47" s="25" t="n">
        <f aca="false">IF(A47="",0,-G47)</f>
        <v>-4272</v>
      </c>
      <c r="O47" s="25" t="n">
        <f aca="false">IF(A47="",0,-G47)</f>
        <v>-4272</v>
      </c>
    </row>
    <row r="48" customFormat="false" ht="15" hidden="false" customHeight="false" outlineLevel="0" collapsed="false">
      <c r="A48" s="16" t="n">
        <f aca="false">IF(ROW()-17&lt;=$B$5,ROW()-17,"")</f>
        <v>31</v>
      </c>
      <c r="B48" s="17" t="n">
        <f aca="false">IF(A48="","",EDATE($B$8,A48-1))</f>
        <v>47326</v>
      </c>
      <c r="C48" s="16" t="n">
        <f aca="false">IF(A48="","",B48-B47)</f>
        <v>30</v>
      </c>
      <c r="D48" s="19" t="n">
        <f aca="false">IF(A48="","",H47)</f>
        <v>113008</v>
      </c>
      <c r="E48" s="19" t="n">
        <f aca="false">IF(A48="","",ROUND(D48*$B$4*C48/$B$9,0))</f>
        <v>924</v>
      </c>
      <c r="F48" s="19" t="n">
        <f aca="false">IF(A48="","",G48-E48)</f>
        <v>3348</v>
      </c>
      <c r="G48" s="19" t="n">
        <f aca="false">IF(A48="","",IF(A48=$B$5,D48+E48,$E$3))</f>
        <v>4272</v>
      </c>
      <c r="H48" s="19" t="n">
        <f aca="false">IF(A48="","",D48+E48-G48)</f>
        <v>109660</v>
      </c>
      <c r="I48" s="20" t="n">
        <f aca="false">IF(A48="","",(B48-$B$7)/365)</f>
        <v>2.64657534246575</v>
      </c>
      <c r="J48" s="21" t="n">
        <f aca="false">IF(A48="","",(1+$E$11)^(-I48))</f>
        <v>0.767240442149297</v>
      </c>
      <c r="K48" s="22" t="n">
        <f aca="false">IF(A48="","",G48*J48)</f>
        <v>3277.6511688618</v>
      </c>
      <c r="L48" s="23" t="n">
        <f aca="false">IF(A48="","",L47/(1+$B$4*C48/$B$9))</f>
        <v>0.769355839778547</v>
      </c>
      <c r="M48" s="24" t="n">
        <f aca="false">IF(A48="",$B$7+1,B48)</f>
        <v>47326</v>
      </c>
      <c r="N48" s="25" t="n">
        <f aca="false">IF(A48="",0,-G48)</f>
        <v>-4272</v>
      </c>
      <c r="O48" s="25" t="n">
        <f aca="false">IF(A48="",0,-G48)</f>
        <v>-4272</v>
      </c>
    </row>
    <row r="49" customFormat="false" ht="15" hidden="false" customHeight="false" outlineLevel="0" collapsed="false">
      <c r="A49" s="16" t="n">
        <f aca="false">IF(ROW()-17&lt;=$B$5,ROW()-17,"")</f>
        <v>32</v>
      </c>
      <c r="B49" s="17" t="n">
        <f aca="false">IF(A49="","",EDATE($B$8,A49-1))</f>
        <v>47357</v>
      </c>
      <c r="C49" s="16" t="n">
        <f aca="false">IF(A49="","",B49-B48)</f>
        <v>31</v>
      </c>
      <c r="D49" s="19" t="n">
        <f aca="false">IF(A49="","",H48)</f>
        <v>109660</v>
      </c>
      <c r="E49" s="19" t="n">
        <f aca="false">IF(A49="","",ROUND(D49*$B$4*C49/$B$9,0))</f>
        <v>927</v>
      </c>
      <c r="F49" s="19" t="n">
        <f aca="false">IF(A49="","",G49-E49)</f>
        <v>3345</v>
      </c>
      <c r="G49" s="19" t="n">
        <f aca="false">IF(A49="","",IF(A49=$B$5,D49+E49,$E$3))</f>
        <v>4272</v>
      </c>
      <c r="H49" s="19" t="n">
        <f aca="false">IF(A49="","",D49+E49-G49)</f>
        <v>106315</v>
      </c>
      <c r="I49" s="20" t="n">
        <f aca="false">IF(A49="","",(B49-$B$7)/365)</f>
        <v>2.73150684931507</v>
      </c>
      <c r="J49" s="21" t="n">
        <f aca="false">IF(A49="","",(1+$E$11)^(-I49))</f>
        <v>0.760744484049587</v>
      </c>
      <c r="K49" s="22" t="n">
        <f aca="false">IF(A49="","",G49*J49)</f>
        <v>3249.90043585984</v>
      </c>
      <c r="L49" s="23" t="n">
        <f aca="false">IF(A49="","",L48/(1+$B$4*C49/$B$9))</f>
        <v>0.762908738398845</v>
      </c>
      <c r="M49" s="24" t="n">
        <f aca="false">IF(A49="",$B$7+1,B49)</f>
        <v>47357</v>
      </c>
      <c r="N49" s="25" t="n">
        <f aca="false">IF(A49="",0,-G49)</f>
        <v>-4272</v>
      </c>
      <c r="O49" s="25" t="n">
        <f aca="false">IF(A49="",0,-G49)</f>
        <v>-4272</v>
      </c>
    </row>
    <row r="50" customFormat="false" ht="15" hidden="false" customHeight="false" outlineLevel="0" collapsed="false">
      <c r="A50" s="16" t="n">
        <f aca="false">IF(ROW()-17&lt;=$B$5,ROW()-17,"")</f>
        <v>33</v>
      </c>
      <c r="B50" s="17" t="n">
        <f aca="false">IF(A50="","",EDATE($B$8,A50-1))</f>
        <v>47388</v>
      </c>
      <c r="C50" s="16" t="n">
        <f aca="false">IF(A50="","",B50-B49)</f>
        <v>31</v>
      </c>
      <c r="D50" s="19" t="n">
        <f aca="false">IF(A50="","",H49)</f>
        <v>106315</v>
      </c>
      <c r="E50" s="19" t="n">
        <f aca="false">IF(A50="","",ROUND(D50*$B$4*C50/$B$9,0))</f>
        <v>898</v>
      </c>
      <c r="F50" s="19" t="n">
        <f aca="false">IF(A50="","",G50-E50)</f>
        <v>3374</v>
      </c>
      <c r="G50" s="19" t="n">
        <f aca="false">IF(A50="","",IF(A50=$B$5,D50+E50,$E$3))</f>
        <v>4272</v>
      </c>
      <c r="H50" s="19" t="n">
        <f aca="false">IF(A50="","",D50+E50-G50)</f>
        <v>102941</v>
      </c>
      <c r="I50" s="20" t="n">
        <f aca="false">IF(A50="","",(B50-$B$7)/365)</f>
        <v>2.81643835616438</v>
      </c>
      <c r="J50" s="21" t="n">
        <f aca="false">IF(A50="","",(1+$E$11)^(-I50))</f>
        <v>0.754303524968849</v>
      </c>
      <c r="K50" s="22" t="n">
        <f aca="false">IF(A50="","",G50*J50)</f>
        <v>3222.38465866692</v>
      </c>
      <c r="L50" s="23" t="n">
        <f aca="false">IF(A50="","",L49/(1+$B$4*C50/$B$9))</f>
        <v>0.756515662886045</v>
      </c>
      <c r="M50" s="24" t="n">
        <f aca="false">IF(A50="",$B$7+1,B50)</f>
        <v>47388</v>
      </c>
      <c r="N50" s="25" t="n">
        <f aca="false">IF(A50="",0,-G50)</f>
        <v>-4272</v>
      </c>
      <c r="O50" s="25" t="n">
        <f aca="false">IF(A50="",0,-G50)</f>
        <v>-4272</v>
      </c>
    </row>
    <row r="51" customFormat="false" ht="15" hidden="false" customHeight="false" outlineLevel="0" collapsed="false">
      <c r="A51" s="16" t="n">
        <f aca="false">IF(ROW()-17&lt;=$B$5,ROW()-17,"")</f>
        <v>34</v>
      </c>
      <c r="B51" s="17" t="n">
        <f aca="false">IF(A51="","",EDATE($B$8,A51-1))</f>
        <v>47418</v>
      </c>
      <c r="C51" s="16" t="n">
        <f aca="false">IF(A51="","",B51-B50)</f>
        <v>30</v>
      </c>
      <c r="D51" s="19" t="n">
        <f aca="false">IF(A51="","",H50)</f>
        <v>102941</v>
      </c>
      <c r="E51" s="19" t="n">
        <f aca="false">IF(A51="","",ROUND(D51*$B$4*C51/$B$9,0))</f>
        <v>842</v>
      </c>
      <c r="F51" s="19" t="n">
        <f aca="false">IF(A51="","",G51-E51)</f>
        <v>3430</v>
      </c>
      <c r="G51" s="19" t="n">
        <f aca="false">IF(A51="","",IF(A51=$B$5,D51+E51,$E$3))</f>
        <v>4272</v>
      </c>
      <c r="H51" s="19" t="n">
        <f aca="false">IF(A51="","",D51+E51-G51)</f>
        <v>99511</v>
      </c>
      <c r="I51" s="20" t="n">
        <f aca="false">IF(A51="","",(B51-$B$7)/365)</f>
        <v>2.8986301369863</v>
      </c>
      <c r="J51" s="21" t="n">
        <f aca="false">IF(A51="","",(1+$E$11)^(-I51))</f>
        <v>0.748122266522681</v>
      </c>
      <c r="K51" s="22" t="n">
        <f aca="false">IF(A51="","",G51*J51)</f>
        <v>3195.97832258489</v>
      </c>
      <c r="L51" s="23" t="n">
        <f aca="false">IF(A51="","",L50/(1+$B$4*C51/$B$9))</f>
        <v>0.750379001734871</v>
      </c>
      <c r="M51" s="24" t="n">
        <f aca="false">IF(A51="",$B$7+1,B51)</f>
        <v>47418</v>
      </c>
      <c r="N51" s="25" t="n">
        <f aca="false">IF(A51="",0,-G51)</f>
        <v>-4272</v>
      </c>
      <c r="O51" s="25" t="n">
        <f aca="false">IF(A51="",0,-G51)</f>
        <v>-4272</v>
      </c>
    </row>
    <row r="52" customFormat="false" ht="15" hidden="false" customHeight="false" outlineLevel="0" collapsed="false">
      <c r="A52" s="16" t="n">
        <f aca="false">IF(ROW()-17&lt;=$B$5,ROW()-17,"")</f>
        <v>35</v>
      </c>
      <c r="B52" s="17" t="n">
        <f aca="false">IF(A52="","",EDATE($B$8,A52-1))</f>
        <v>47449</v>
      </c>
      <c r="C52" s="16" t="n">
        <f aca="false">IF(A52="","",B52-B51)</f>
        <v>31</v>
      </c>
      <c r="D52" s="19" t="n">
        <f aca="false">IF(A52="","",H51)</f>
        <v>99511</v>
      </c>
      <c r="E52" s="19" t="n">
        <f aca="false">IF(A52="","",ROUND(D52*$B$4*C52/$B$9,0))</f>
        <v>841</v>
      </c>
      <c r="F52" s="19" t="n">
        <f aca="false">IF(A52="","",G52-E52)</f>
        <v>3431</v>
      </c>
      <c r="G52" s="19" t="n">
        <f aca="false">IF(A52="","",IF(A52=$B$5,D52+E52,$E$3))</f>
        <v>4272</v>
      </c>
      <c r="H52" s="19" t="n">
        <f aca="false">IF(A52="","",D52+E52-G52)</f>
        <v>96080</v>
      </c>
      <c r="I52" s="20" t="n">
        <f aca="false">IF(A52="","",(B52-$B$7)/365)</f>
        <v>2.98356164383562</v>
      </c>
      <c r="J52" s="21" t="n">
        <f aca="false">IF(A52="","",(1+$E$11)^(-I52))</f>
        <v>0.741788175369747</v>
      </c>
      <c r="K52" s="22" t="n">
        <f aca="false">IF(A52="","",G52*J52)</f>
        <v>3168.91908517956</v>
      </c>
      <c r="L52" s="23" t="n">
        <f aca="false">IF(A52="","",L51/(1+$B$4*C52/$B$9))</f>
        <v>0.744090923777632</v>
      </c>
      <c r="M52" s="24" t="n">
        <f aca="false">IF(A52="",$B$7+1,B52)</f>
        <v>47449</v>
      </c>
      <c r="N52" s="25" t="n">
        <f aca="false">IF(A52="",0,-G52)</f>
        <v>-4272</v>
      </c>
      <c r="O52" s="25" t="n">
        <f aca="false">IF(A52="",0,-G52)</f>
        <v>-4272</v>
      </c>
    </row>
    <row r="53" customFormat="false" ht="15" hidden="false" customHeight="false" outlineLevel="0" collapsed="false">
      <c r="A53" s="16" t="n">
        <f aca="false">IF(ROW()-17&lt;=$B$5,ROW()-17,"")</f>
        <v>36</v>
      </c>
      <c r="B53" s="17" t="n">
        <f aca="false">IF(A53="","",EDATE($B$8,A53-1))</f>
        <v>47479</v>
      </c>
      <c r="C53" s="16" t="n">
        <f aca="false">IF(A53="","",B53-B52)</f>
        <v>30</v>
      </c>
      <c r="D53" s="19" t="n">
        <f aca="false">IF(A53="","",H52)</f>
        <v>96080</v>
      </c>
      <c r="E53" s="19" t="n">
        <f aca="false">IF(A53="","",ROUND(D53*$B$4*C53/$B$9,0))</f>
        <v>786</v>
      </c>
      <c r="F53" s="19" t="n">
        <f aca="false">IF(A53="","",G53-E53)</f>
        <v>3486</v>
      </c>
      <c r="G53" s="19" t="n">
        <f aca="false">IF(A53="","",IF(A53=$B$5,D53+E53,$E$3))</f>
        <v>4272</v>
      </c>
      <c r="H53" s="19" t="n">
        <f aca="false">IF(A53="","",D53+E53-G53)</f>
        <v>92594</v>
      </c>
      <c r="I53" s="20" t="n">
        <f aca="false">IF(A53="","",(B53-$B$7)/365)</f>
        <v>3.06575342465753</v>
      </c>
      <c r="J53" s="21" t="n">
        <f aca="false">IF(A53="","",(1+$E$11)^(-I53))</f>
        <v>0.735709475917213</v>
      </c>
      <c r="K53" s="22" t="n">
        <f aca="false">IF(A53="","",G53*J53)</f>
        <v>3142.95088111834</v>
      </c>
      <c r="L53" s="23" t="n">
        <f aca="false">IF(A53="","",L52/(1+$B$4*C53/$B$9))</f>
        <v>0.738055048925461</v>
      </c>
      <c r="M53" s="24" t="n">
        <f aca="false">IF(A53="",$B$7+1,B53)</f>
        <v>47479</v>
      </c>
      <c r="N53" s="25" t="n">
        <f aca="false">IF(A53="",0,-G53)</f>
        <v>-4272</v>
      </c>
      <c r="O53" s="25" t="n">
        <f aca="false">IF(A53="",0,-G53)</f>
        <v>-4272</v>
      </c>
    </row>
    <row r="54" customFormat="false" ht="15" hidden="false" customHeight="false" outlineLevel="0" collapsed="false">
      <c r="A54" s="16" t="n">
        <f aca="false">IF(ROW()-17&lt;=$B$5,ROW()-17,"")</f>
        <v>37</v>
      </c>
      <c r="B54" s="17" t="n">
        <f aca="false">IF(A54="","",EDATE($B$8,A54-1))</f>
        <v>47510</v>
      </c>
      <c r="C54" s="16" t="n">
        <f aca="false">IF(A54="","",B54-B53)</f>
        <v>31</v>
      </c>
      <c r="D54" s="19" t="n">
        <f aca="false">IF(A54="","",H53)</f>
        <v>92594</v>
      </c>
      <c r="E54" s="19" t="n">
        <f aca="false">IF(A54="","",ROUND(D54*$B$4*C54/$B$9,0))</f>
        <v>782</v>
      </c>
      <c r="F54" s="19" t="n">
        <f aca="false">IF(A54="","",G54-E54)</f>
        <v>3490</v>
      </c>
      <c r="G54" s="19" t="n">
        <f aca="false">IF(A54="","",IF(A54=$B$5,D54+E54,$E$3))</f>
        <v>4272</v>
      </c>
      <c r="H54" s="19" t="n">
        <f aca="false">IF(A54="","",D54+E54-G54)</f>
        <v>89104</v>
      </c>
      <c r="I54" s="20" t="n">
        <f aca="false">IF(A54="","",(B54-$B$7)/365)</f>
        <v>3.15068493150685</v>
      </c>
      <c r="J54" s="21" t="n">
        <f aca="false">IF(A54="","",(1+$E$11)^(-I54))</f>
        <v>0.729480479547146</v>
      </c>
      <c r="K54" s="22" t="n">
        <f aca="false">IF(A54="","",G54*J54)</f>
        <v>3116.34060862541</v>
      </c>
      <c r="L54" s="23" t="n">
        <f aca="false">IF(A54="","",L53/(1+$B$4*C54/$B$9))</f>
        <v>0.731870244081979</v>
      </c>
      <c r="M54" s="24" t="n">
        <f aca="false">IF(A54="",$B$7+1,B54)</f>
        <v>47510</v>
      </c>
      <c r="N54" s="25" t="n">
        <f aca="false">IF(A54="",0,-G54)</f>
        <v>-4272</v>
      </c>
      <c r="O54" s="25" t="n">
        <f aca="false">IF(A54="",0,-G54)</f>
        <v>-4272</v>
      </c>
    </row>
    <row r="55" customFormat="false" ht="15" hidden="false" customHeight="false" outlineLevel="0" collapsed="false">
      <c r="A55" s="16" t="n">
        <f aca="false">IF(ROW()-17&lt;=$B$5,ROW()-17,"")</f>
        <v>38</v>
      </c>
      <c r="B55" s="17" t="n">
        <f aca="false">IF(A55="","",EDATE($B$8,A55-1))</f>
        <v>47541</v>
      </c>
      <c r="C55" s="16" t="n">
        <f aca="false">IF(A55="","",B55-B54)</f>
        <v>31</v>
      </c>
      <c r="D55" s="19" t="n">
        <f aca="false">IF(A55="","",H54)</f>
        <v>89104</v>
      </c>
      <c r="E55" s="19" t="n">
        <f aca="false">IF(A55="","",ROUND(D55*$B$4*C55/$B$9,0))</f>
        <v>753</v>
      </c>
      <c r="F55" s="19" t="n">
        <f aca="false">IF(A55="","",G55-E55)</f>
        <v>3519</v>
      </c>
      <c r="G55" s="19" t="n">
        <f aca="false">IF(A55="","",IF(A55=$B$5,D55+E55,$E$3))</f>
        <v>4272</v>
      </c>
      <c r="H55" s="19" t="n">
        <f aca="false">IF(A55="","",D55+E55-G55)</f>
        <v>85585</v>
      </c>
      <c r="I55" s="20" t="n">
        <f aca="false">IF(A55="","",(B55-$B$7)/365)</f>
        <v>3.23561643835616</v>
      </c>
      <c r="J55" s="21" t="n">
        <f aca="false">IF(A55="","",(1+$E$11)^(-I55))</f>
        <v>0.723304221923891</v>
      </c>
      <c r="K55" s="22" t="n">
        <f aca="false">IF(A55="","",G55*J55)</f>
        <v>3089.95563605886</v>
      </c>
      <c r="L55" s="23" t="n">
        <f aca="false">IF(A55="","",L54/(1+$B$4*C55/$B$9))</f>
        <v>0.725737267094709</v>
      </c>
      <c r="M55" s="24" t="n">
        <f aca="false">IF(A55="",$B$7+1,B55)</f>
        <v>47541</v>
      </c>
      <c r="N55" s="25" t="n">
        <f aca="false">IF(A55="",0,-G55)</f>
        <v>-4272</v>
      </c>
      <c r="O55" s="25" t="n">
        <f aca="false">IF(A55="",0,-G55)</f>
        <v>-4272</v>
      </c>
    </row>
    <row r="56" customFormat="false" ht="15" hidden="false" customHeight="false" outlineLevel="0" collapsed="false">
      <c r="A56" s="16" t="n">
        <f aca="false">IF(ROW()-17&lt;=$B$5,ROW()-17,"")</f>
        <v>39</v>
      </c>
      <c r="B56" s="17" t="n">
        <f aca="false">IF(A56="","",EDATE($B$8,A56-1))</f>
        <v>47569</v>
      </c>
      <c r="C56" s="16" t="n">
        <f aca="false">IF(A56="","",B56-B55)</f>
        <v>28</v>
      </c>
      <c r="D56" s="19" t="n">
        <f aca="false">IF(A56="","",H55)</f>
        <v>85585</v>
      </c>
      <c r="E56" s="19" t="n">
        <f aca="false">IF(A56="","",ROUND(D56*$B$4*C56/$B$9,0))</f>
        <v>653</v>
      </c>
      <c r="F56" s="19" t="n">
        <f aca="false">IF(A56="","",G56-E56)</f>
        <v>3619</v>
      </c>
      <c r="G56" s="19" t="n">
        <f aca="false">IF(A56="","",IF(A56=$B$5,D56+E56,$E$3))</f>
        <v>4272</v>
      </c>
      <c r="H56" s="19" t="n">
        <f aca="false">IF(A56="","",D56+E56-G56)</f>
        <v>81966</v>
      </c>
      <c r="I56" s="20" t="n">
        <f aca="false">IF(A56="","",(B56-$B$7)/365)</f>
        <v>3.31232876712329</v>
      </c>
      <c r="J56" s="21" t="n">
        <f aca="false">IF(A56="","",(1+$E$11)^(-I56))</f>
        <v>0.717770625239399</v>
      </c>
      <c r="K56" s="22" t="n">
        <f aca="false">IF(A56="","",G56*J56)</f>
        <v>3066.31611102271</v>
      </c>
      <c r="L56" s="23" t="n">
        <f aca="false">IF(A56="","",L55/(1+$B$4*C56/$B$9))</f>
        <v>0.720239765759351</v>
      </c>
      <c r="M56" s="24" t="n">
        <f aca="false">IF(A56="",$B$7+1,B56)</f>
        <v>47569</v>
      </c>
      <c r="N56" s="25" t="n">
        <f aca="false">IF(A56="",0,-G56)</f>
        <v>-4272</v>
      </c>
      <c r="O56" s="25" t="n">
        <f aca="false">IF(A56="",0,-G56)</f>
        <v>-4272</v>
      </c>
    </row>
    <row r="57" customFormat="false" ht="15" hidden="false" customHeight="false" outlineLevel="0" collapsed="false">
      <c r="A57" s="16" t="n">
        <f aca="false">IF(ROW()-17&lt;=$B$5,ROW()-17,"")</f>
        <v>40</v>
      </c>
      <c r="B57" s="17" t="n">
        <f aca="false">IF(A57="","",EDATE($B$8,A57-1))</f>
        <v>47600</v>
      </c>
      <c r="C57" s="16" t="n">
        <f aca="false">IF(A57="","",B57-B56)</f>
        <v>31</v>
      </c>
      <c r="D57" s="19" t="n">
        <f aca="false">IF(A57="","",H56)</f>
        <v>81966</v>
      </c>
      <c r="E57" s="19" t="n">
        <f aca="false">IF(A57="","",ROUND(D57*$B$4*C57/$B$9,0))</f>
        <v>693</v>
      </c>
      <c r="F57" s="19" t="n">
        <f aca="false">IF(A57="","",G57-E57)</f>
        <v>3579</v>
      </c>
      <c r="G57" s="19" t="n">
        <f aca="false">IF(A57="","",IF(A57=$B$5,D57+E57,$E$3))</f>
        <v>4272</v>
      </c>
      <c r="H57" s="19" t="n">
        <f aca="false">IF(A57="","",D57+E57-G57)</f>
        <v>78387</v>
      </c>
      <c r="I57" s="20" t="n">
        <f aca="false">IF(A57="","",(B57-$B$7)/365)</f>
        <v>3.3972602739726</v>
      </c>
      <c r="J57" s="21" t="n">
        <f aca="false">IF(A57="","",(1+$E$11)^(-I57))</f>
        <v>0.711693510881746</v>
      </c>
      <c r="K57" s="22" t="n">
        <f aca="false">IF(A57="","",G57*J57)</f>
        <v>3040.35467848682</v>
      </c>
      <c r="L57" s="23" t="n">
        <f aca="false">IF(A57="","",L56/(1+$B$4*C57/$B$9))</f>
        <v>0.714204250660278</v>
      </c>
      <c r="M57" s="24" t="n">
        <f aca="false">IF(A57="",$B$7+1,B57)</f>
        <v>47600</v>
      </c>
      <c r="N57" s="25" t="n">
        <f aca="false">IF(A57="",0,-G57)</f>
        <v>-4272</v>
      </c>
      <c r="O57" s="25" t="n">
        <f aca="false">IF(A57="",0,-G57)</f>
        <v>-4272</v>
      </c>
    </row>
    <row r="58" customFormat="false" ht="15" hidden="false" customHeight="false" outlineLevel="0" collapsed="false">
      <c r="A58" s="16" t="n">
        <f aca="false">IF(ROW()-17&lt;=$B$5,ROW()-17,"")</f>
        <v>41</v>
      </c>
      <c r="B58" s="17" t="n">
        <f aca="false">IF(A58="","",EDATE($B$8,A58-1))</f>
        <v>47630</v>
      </c>
      <c r="C58" s="16" t="n">
        <f aca="false">IF(A58="","",B58-B57)</f>
        <v>30</v>
      </c>
      <c r="D58" s="19" t="n">
        <f aca="false">IF(A58="","",H57)</f>
        <v>78387</v>
      </c>
      <c r="E58" s="19" t="n">
        <f aca="false">IF(A58="","",ROUND(D58*$B$4*C58/$B$9,0))</f>
        <v>641</v>
      </c>
      <c r="F58" s="19" t="n">
        <f aca="false">IF(A58="","",G58-E58)</f>
        <v>3631</v>
      </c>
      <c r="G58" s="19" t="n">
        <f aca="false">IF(A58="","",IF(A58=$B$5,D58+E58,$E$3))</f>
        <v>4272</v>
      </c>
      <c r="H58" s="19" t="n">
        <f aca="false">IF(A58="","",D58+E58-G58)</f>
        <v>74756</v>
      </c>
      <c r="I58" s="20" t="n">
        <f aca="false">IF(A58="","",(B58-$B$7)/365)</f>
        <v>3.47945205479452</v>
      </c>
      <c r="J58" s="21" t="n">
        <f aca="false">IF(A58="","",(1+$E$11)^(-I58))</f>
        <v>0.70586142687365</v>
      </c>
      <c r="K58" s="22" t="n">
        <f aca="false">IF(A58="","",G58*J58)</f>
        <v>3015.44001560423</v>
      </c>
      <c r="L58" s="23" t="n">
        <f aca="false">IF(A58="","",L57/(1+$B$4*C58/$B$9))</f>
        <v>0.708410808840039</v>
      </c>
      <c r="M58" s="24" t="n">
        <f aca="false">IF(A58="",$B$7+1,B58)</f>
        <v>47630</v>
      </c>
      <c r="N58" s="25" t="n">
        <f aca="false">IF(A58="",0,-G58)</f>
        <v>-4272</v>
      </c>
      <c r="O58" s="25" t="n">
        <f aca="false">IF(A58="",0,-G58)</f>
        <v>-4272</v>
      </c>
    </row>
    <row r="59" customFormat="false" ht="15" hidden="false" customHeight="false" outlineLevel="0" collapsed="false">
      <c r="A59" s="16" t="n">
        <f aca="false">IF(ROW()-17&lt;=$B$5,ROW()-17,"")</f>
        <v>42</v>
      </c>
      <c r="B59" s="17" t="n">
        <f aca="false">IF(A59="","",EDATE($B$8,A59-1))</f>
        <v>47661</v>
      </c>
      <c r="C59" s="16" t="n">
        <f aca="false">IF(A59="","",B59-B58)</f>
        <v>31</v>
      </c>
      <c r="D59" s="19" t="n">
        <f aca="false">IF(A59="","",H58)</f>
        <v>74756</v>
      </c>
      <c r="E59" s="19" t="n">
        <f aca="false">IF(A59="","",ROUND(D59*$B$4*C59/$B$9,0))</f>
        <v>632</v>
      </c>
      <c r="F59" s="19" t="n">
        <f aca="false">IF(A59="","",G59-E59)</f>
        <v>3640</v>
      </c>
      <c r="G59" s="19" t="n">
        <f aca="false">IF(A59="","",IF(A59=$B$5,D59+E59,$E$3))</f>
        <v>4272</v>
      </c>
      <c r="H59" s="19" t="n">
        <f aca="false">IF(A59="","",D59+E59-G59)</f>
        <v>71116</v>
      </c>
      <c r="I59" s="20" t="n">
        <f aca="false">IF(A59="","",(B59-$B$7)/365)</f>
        <v>3.56438356164384</v>
      </c>
      <c r="J59" s="21" t="n">
        <f aca="false">IF(A59="","",(1+$E$11)^(-I59))</f>
        <v>0.699885143558439</v>
      </c>
      <c r="K59" s="22" t="n">
        <f aca="false">IF(A59="","",G59*J59)</f>
        <v>2989.90933328165</v>
      </c>
      <c r="L59" s="23" t="n">
        <f aca="false">IF(A59="","",L58/(1+$B$4*C59/$B$9))</f>
        <v>0.702474418853861</v>
      </c>
      <c r="M59" s="24" t="n">
        <f aca="false">IF(A59="",$B$7+1,B59)</f>
        <v>47661</v>
      </c>
      <c r="N59" s="25" t="n">
        <f aca="false">IF(A59="",0,-G59)</f>
        <v>-4272</v>
      </c>
      <c r="O59" s="25" t="n">
        <f aca="false">IF(A59="",0,-G59)</f>
        <v>-4272</v>
      </c>
    </row>
    <row r="60" customFormat="false" ht="15" hidden="false" customHeight="false" outlineLevel="0" collapsed="false">
      <c r="A60" s="16" t="n">
        <f aca="false">IF(ROW()-17&lt;=$B$5,ROW()-17,"")</f>
        <v>43</v>
      </c>
      <c r="B60" s="17" t="n">
        <f aca="false">IF(A60="","",EDATE($B$8,A60-1))</f>
        <v>47691</v>
      </c>
      <c r="C60" s="16" t="n">
        <f aca="false">IF(A60="","",B60-B59)</f>
        <v>30</v>
      </c>
      <c r="D60" s="19" t="n">
        <f aca="false">IF(A60="","",H59)</f>
        <v>71116</v>
      </c>
      <c r="E60" s="19" t="n">
        <f aca="false">IF(A60="","",ROUND(D60*$B$4*C60/$B$9,0))</f>
        <v>582</v>
      </c>
      <c r="F60" s="19" t="n">
        <f aca="false">IF(A60="","",G60-E60)</f>
        <v>3690</v>
      </c>
      <c r="G60" s="19" t="n">
        <f aca="false">IF(A60="","",IF(A60=$B$5,D60+E60,$E$3))</f>
        <v>4272</v>
      </c>
      <c r="H60" s="19" t="n">
        <f aca="false">IF(A60="","",D60+E60-G60)</f>
        <v>67426</v>
      </c>
      <c r="I60" s="20" t="n">
        <f aca="false">IF(A60="","",(B60-$B$7)/365)</f>
        <v>3.64657534246575</v>
      </c>
      <c r="J60" s="21" t="n">
        <f aca="false">IF(A60="","",(1+$E$11)^(-I60))</f>
        <v>0.694149825066924</v>
      </c>
      <c r="K60" s="22" t="n">
        <f aca="false">IF(A60="","",G60*J60)</f>
        <v>2965.4080526859</v>
      </c>
      <c r="L60" s="23" t="n">
        <f aca="false">IF(A60="","",L59/(1+$B$4*C60/$B$9))</f>
        <v>0.696776126422706</v>
      </c>
      <c r="M60" s="24" t="n">
        <f aca="false">IF(A60="",$B$7+1,B60)</f>
        <v>47691</v>
      </c>
      <c r="N60" s="25" t="n">
        <f aca="false">IF(A60="",0,-G60)</f>
        <v>-4272</v>
      </c>
      <c r="O60" s="25" t="n">
        <f aca="false">IF(A60="",0,-G60)</f>
        <v>-4272</v>
      </c>
    </row>
    <row r="61" customFormat="false" ht="15" hidden="false" customHeight="false" outlineLevel="0" collapsed="false">
      <c r="A61" s="16" t="n">
        <f aca="false">IF(ROW()-17&lt;=$B$5,ROW()-17,"")</f>
        <v>44</v>
      </c>
      <c r="B61" s="17" t="n">
        <f aca="false">IF(A61="","",EDATE($B$8,A61-1))</f>
        <v>47722</v>
      </c>
      <c r="C61" s="16" t="n">
        <f aca="false">IF(A61="","",B61-B60)</f>
        <v>31</v>
      </c>
      <c r="D61" s="19" t="n">
        <f aca="false">IF(A61="","",H60)</f>
        <v>67426</v>
      </c>
      <c r="E61" s="19" t="n">
        <f aca="false">IF(A61="","",ROUND(D61*$B$4*C61/$B$9,0))</f>
        <v>570</v>
      </c>
      <c r="F61" s="19" t="n">
        <f aca="false">IF(A61="","",G61-E61)</f>
        <v>3702</v>
      </c>
      <c r="G61" s="19" t="n">
        <f aca="false">IF(A61="","",IF(A61=$B$5,D61+E61,$E$3))</f>
        <v>4272</v>
      </c>
      <c r="H61" s="19" t="n">
        <f aca="false">IF(A61="","",D61+E61-G61)</f>
        <v>63724</v>
      </c>
      <c r="I61" s="20" t="n">
        <f aca="false">IF(A61="","",(B61-$B$7)/365)</f>
        <v>3.73150684931507</v>
      </c>
      <c r="J61" s="21" t="n">
        <f aca="false">IF(A61="","",(1+$E$11)^(-I61))</f>
        <v>0.688272699812781</v>
      </c>
      <c r="K61" s="22" t="n">
        <f aca="false">IF(A61="","",G61*J61)</f>
        <v>2940.3009736002</v>
      </c>
      <c r="L61" s="23" t="n">
        <f aca="false">IF(A61="","",L60/(1+$B$4*C61/$B$9))</f>
        <v>0.69093723355449</v>
      </c>
      <c r="M61" s="24" t="n">
        <f aca="false">IF(A61="",$B$7+1,B61)</f>
        <v>47722</v>
      </c>
      <c r="N61" s="25" t="n">
        <f aca="false">IF(A61="",0,-G61)</f>
        <v>-4272</v>
      </c>
      <c r="O61" s="25" t="n">
        <f aca="false">IF(A61="",0,-G61)</f>
        <v>-4272</v>
      </c>
    </row>
    <row r="62" customFormat="false" ht="15" hidden="false" customHeight="false" outlineLevel="0" collapsed="false">
      <c r="A62" s="16" t="n">
        <f aca="false">IF(ROW()-17&lt;=$B$5,ROW()-17,"")</f>
        <v>45</v>
      </c>
      <c r="B62" s="17" t="n">
        <f aca="false">IF(A62="","",EDATE($B$8,A62-1))</f>
        <v>47753</v>
      </c>
      <c r="C62" s="16" t="n">
        <f aca="false">IF(A62="","",B62-B61)</f>
        <v>31</v>
      </c>
      <c r="D62" s="19" t="n">
        <f aca="false">IF(A62="","",H61)</f>
        <v>63724</v>
      </c>
      <c r="E62" s="19" t="n">
        <f aca="false">IF(A62="","",ROUND(D62*$B$4*C62/$B$9,0))</f>
        <v>539</v>
      </c>
      <c r="F62" s="19" t="n">
        <f aca="false">IF(A62="","",G62-E62)</f>
        <v>3733</v>
      </c>
      <c r="G62" s="19" t="n">
        <f aca="false">IF(A62="","",IF(A62=$B$5,D62+E62,$E$3))</f>
        <v>4272</v>
      </c>
      <c r="H62" s="19" t="n">
        <f aca="false">IF(A62="","",D62+E62-G62)</f>
        <v>59991</v>
      </c>
      <c r="I62" s="20" t="n">
        <f aca="false">IF(A62="","",(B62-$B$7)/365)</f>
        <v>3.81643835616438</v>
      </c>
      <c r="J62" s="21" t="n">
        <f aca="false">IF(A62="","",(1+$E$11)^(-I62))</f>
        <v>0.682445334135038</v>
      </c>
      <c r="K62" s="22" t="n">
        <f aca="false">IF(A62="","",G62*J62)</f>
        <v>2915.40646742488</v>
      </c>
      <c r="L62" s="23" t="n">
        <f aca="false">IF(A62="","",L61/(1+$B$4*C62/$B$9))</f>
        <v>0.685147269845344</v>
      </c>
      <c r="M62" s="24" t="n">
        <f aca="false">IF(A62="",$B$7+1,B62)</f>
        <v>47753</v>
      </c>
      <c r="N62" s="25" t="n">
        <f aca="false">IF(A62="",0,-G62)</f>
        <v>-4272</v>
      </c>
      <c r="O62" s="25" t="n">
        <f aca="false">IF(A62="",0,-G62)</f>
        <v>-4272</v>
      </c>
    </row>
    <row r="63" customFormat="false" ht="15" hidden="false" customHeight="false" outlineLevel="0" collapsed="false">
      <c r="A63" s="16" t="n">
        <f aca="false">IF(ROW()-17&lt;=$B$5,ROW()-17,"")</f>
        <v>46</v>
      </c>
      <c r="B63" s="17" t="n">
        <f aca="false">IF(A63="","",EDATE($B$8,A63-1))</f>
        <v>47783</v>
      </c>
      <c r="C63" s="16" t="n">
        <f aca="false">IF(A63="","",B63-B62)</f>
        <v>30</v>
      </c>
      <c r="D63" s="19" t="n">
        <f aca="false">IF(A63="","",H62)</f>
        <v>59991</v>
      </c>
      <c r="E63" s="19" t="n">
        <f aca="false">IF(A63="","",ROUND(D63*$B$4*C63/$B$9,0))</f>
        <v>491</v>
      </c>
      <c r="F63" s="19" t="n">
        <f aca="false">IF(A63="","",G63-E63)</f>
        <v>3781</v>
      </c>
      <c r="G63" s="19" t="n">
        <f aca="false">IF(A63="","",IF(A63=$B$5,D63+E63,$E$3))</f>
        <v>4272</v>
      </c>
      <c r="H63" s="19" t="n">
        <f aca="false">IF(A63="","",D63+E63-G63)</f>
        <v>56210</v>
      </c>
      <c r="I63" s="20" t="n">
        <f aca="false">IF(A63="","",(B63-$B$7)/365)</f>
        <v>3.8986301369863</v>
      </c>
      <c r="J63" s="21" t="n">
        <f aca="false">IF(A63="","",(1+$E$11)^(-I63))</f>
        <v>0.676852928894926</v>
      </c>
      <c r="K63" s="22" t="n">
        <f aca="false">IF(A63="","",G63*J63)</f>
        <v>2891.51571223912</v>
      </c>
      <c r="L63" s="23" t="n">
        <f aca="false">IF(A63="","",L62/(1+$B$4*C63/$B$9))</f>
        <v>0.679589530805741</v>
      </c>
      <c r="M63" s="24" t="n">
        <f aca="false">IF(A63="",$B$7+1,B63)</f>
        <v>47783</v>
      </c>
      <c r="N63" s="25" t="n">
        <f aca="false">IF(A63="",0,-G63)</f>
        <v>-4272</v>
      </c>
      <c r="O63" s="25" t="n">
        <f aca="false">IF(A63="",0,-G63)</f>
        <v>-4272</v>
      </c>
    </row>
    <row r="64" customFormat="false" ht="15" hidden="false" customHeight="false" outlineLevel="0" collapsed="false">
      <c r="A64" s="16" t="n">
        <f aca="false">IF(ROW()-17&lt;=$B$5,ROW()-17,"")</f>
        <v>47</v>
      </c>
      <c r="B64" s="17" t="n">
        <f aca="false">IF(A64="","",EDATE($B$8,A64-1))</f>
        <v>47814</v>
      </c>
      <c r="C64" s="16" t="n">
        <f aca="false">IF(A64="","",B64-B63)</f>
        <v>31</v>
      </c>
      <c r="D64" s="19" t="n">
        <f aca="false">IF(A64="","",H63)</f>
        <v>56210</v>
      </c>
      <c r="E64" s="19" t="n">
        <f aca="false">IF(A64="","",ROUND(D64*$B$4*C64/$B$9,0))</f>
        <v>475</v>
      </c>
      <c r="F64" s="19" t="n">
        <f aca="false">IF(A64="","",G64-E64)</f>
        <v>3797</v>
      </c>
      <c r="G64" s="19" t="n">
        <f aca="false">IF(A64="","",IF(A64=$B$5,D64+E64,$E$3))</f>
        <v>4272</v>
      </c>
      <c r="H64" s="19" t="n">
        <f aca="false">IF(A64="","",D64+E64-G64)</f>
        <v>52413</v>
      </c>
      <c r="I64" s="20" t="n">
        <f aca="false">IF(A64="","",(B64-$B$7)/365)</f>
        <v>3.98356164383562</v>
      </c>
      <c r="J64" s="21" t="n">
        <f aca="false">IF(A64="","",(1+$E$11)^(-I64))</f>
        <v>0.671122250447568</v>
      </c>
      <c r="K64" s="22" t="n">
        <f aca="false">IF(A64="","",G64*J64)</f>
        <v>2867.03425391201</v>
      </c>
      <c r="L64" s="23" t="n">
        <f aca="false">IF(A64="","",L63/(1+$B$4*C64/$B$9))</f>
        <v>0.673894659362444</v>
      </c>
      <c r="M64" s="24" t="n">
        <f aca="false">IF(A64="",$B$7+1,B64)</f>
        <v>47814</v>
      </c>
      <c r="N64" s="25" t="n">
        <f aca="false">IF(A64="",0,-G64)</f>
        <v>-4272</v>
      </c>
      <c r="O64" s="25" t="n">
        <f aca="false">IF(A64="",0,-G64)</f>
        <v>-4272</v>
      </c>
    </row>
    <row r="65" customFormat="false" ht="15" hidden="false" customHeight="false" outlineLevel="0" collapsed="false">
      <c r="A65" s="16" t="n">
        <f aca="false">IF(ROW()-17&lt;=$B$5,ROW()-17,"")</f>
        <v>48</v>
      </c>
      <c r="B65" s="17" t="n">
        <f aca="false">IF(A65="","",EDATE($B$8,A65-1))</f>
        <v>47844</v>
      </c>
      <c r="C65" s="16" t="n">
        <f aca="false">IF(A65="","",B65-B64)</f>
        <v>30</v>
      </c>
      <c r="D65" s="19" t="n">
        <f aca="false">IF(A65="","",H64)</f>
        <v>52413</v>
      </c>
      <c r="E65" s="19" t="n">
        <f aca="false">IF(A65="","",ROUND(D65*$B$4*C65/$B$9,0))</f>
        <v>429</v>
      </c>
      <c r="F65" s="19" t="n">
        <f aca="false">IF(A65="","",G65-E65)</f>
        <v>3843</v>
      </c>
      <c r="G65" s="19" t="n">
        <f aca="false">IF(A65="","",IF(A65=$B$5,D65+E65,$E$3))</f>
        <v>4272</v>
      </c>
      <c r="H65" s="19" t="n">
        <f aca="false">IF(A65="","",D65+E65-G65)</f>
        <v>48570</v>
      </c>
      <c r="I65" s="20" t="n">
        <f aca="false">IF(A65="","",(B65-$B$7)/365)</f>
        <v>4.06575342465753</v>
      </c>
      <c r="J65" s="21" t="n">
        <f aca="false">IF(A65="","",(1+$E$11)^(-I65))</f>
        <v>0.665622633991232</v>
      </c>
      <c r="K65" s="22" t="n">
        <f aca="false">IF(A65="","",G65*J65)</f>
        <v>2843.53989241054</v>
      </c>
      <c r="L65" s="23" t="n">
        <f aca="false">IF(A65="","",L64/(1+$B$4*C65/$B$9))</f>
        <v>0.668428198614868</v>
      </c>
      <c r="M65" s="24" t="n">
        <f aca="false">IF(A65="",$B$7+1,B65)</f>
        <v>47844</v>
      </c>
      <c r="N65" s="25" t="n">
        <f aca="false">IF(A65="",0,-G65)</f>
        <v>-4272</v>
      </c>
      <c r="O65" s="25" t="n">
        <f aca="false">IF(A65="",0,-G65)</f>
        <v>-4272</v>
      </c>
    </row>
    <row r="66" customFormat="false" ht="15" hidden="false" customHeight="false" outlineLevel="0" collapsed="false">
      <c r="A66" s="16" t="n">
        <f aca="false">IF(ROW()-17&lt;=$B$5,ROW()-17,"")</f>
        <v>49</v>
      </c>
      <c r="B66" s="17" t="n">
        <f aca="false">IF(A66="","",EDATE($B$8,A66-1))</f>
        <v>47875</v>
      </c>
      <c r="C66" s="16" t="n">
        <f aca="false">IF(A66="","",B66-B65)</f>
        <v>31</v>
      </c>
      <c r="D66" s="19" t="n">
        <f aca="false">IF(A66="","",H65)</f>
        <v>48570</v>
      </c>
      <c r="E66" s="19" t="n">
        <f aca="false">IF(A66="","",ROUND(D66*$B$4*C66/$B$9,0))</f>
        <v>410</v>
      </c>
      <c r="F66" s="19" t="n">
        <f aca="false">IF(A66="","",G66-E66)</f>
        <v>3862</v>
      </c>
      <c r="G66" s="19" t="n">
        <f aca="false">IF(A66="","",IF(A66=$B$5,D66+E66,$E$3))</f>
        <v>4272</v>
      </c>
      <c r="H66" s="19" t="n">
        <f aca="false">IF(A66="","",D66+E66-G66)</f>
        <v>44708</v>
      </c>
      <c r="I66" s="20" t="n">
        <f aca="false">IF(A66="","",(B66-$B$7)/365)</f>
        <v>4.15068493150685</v>
      </c>
      <c r="J66" s="21" t="n">
        <f aca="false">IF(A66="","",(1+$E$11)^(-I66))</f>
        <v>0.659987038546716</v>
      </c>
      <c r="K66" s="22" t="n">
        <f aca="false">IF(A66="","",G66*J66)</f>
        <v>2819.46462867157</v>
      </c>
      <c r="L66" s="23" t="n">
        <f aca="false">IF(A66="","",L65/(1+$B$4*C66/$B$9))</f>
        <v>0.662826857676503</v>
      </c>
      <c r="M66" s="24" t="n">
        <f aca="false">IF(A66="",$B$7+1,B66)</f>
        <v>47875</v>
      </c>
      <c r="N66" s="25" t="n">
        <f aca="false">IF(A66="",0,-G66)</f>
        <v>-4272</v>
      </c>
      <c r="O66" s="25" t="n">
        <f aca="false">IF(A66="",0,-G66)</f>
        <v>-4272</v>
      </c>
    </row>
    <row r="67" customFormat="false" ht="15" hidden="false" customHeight="false" outlineLevel="0" collapsed="false">
      <c r="A67" s="16" t="n">
        <f aca="false">IF(ROW()-17&lt;=$B$5,ROW()-17,"")</f>
        <v>50</v>
      </c>
      <c r="B67" s="17" t="n">
        <f aca="false">IF(A67="","",EDATE($B$8,A67-1))</f>
        <v>47906</v>
      </c>
      <c r="C67" s="16" t="n">
        <f aca="false">IF(A67="","",B67-B66)</f>
        <v>31</v>
      </c>
      <c r="D67" s="19" t="n">
        <f aca="false">IF(A67="","",H66)</f>
        <v>44708</v>
      </c>
      <c r="E67" s="19" t="n">
        <f aca="false">IF(A67="","",ROUND(D67*$B$4*C67/$B$9,0))</f>
        <v>378</v>
      </c>
      <c r="F67" s="19" t="n">
        <f aca="false">IF(A67="","",G67-E67)</f>
        <v>3894</v>
      </c>
      <c r="G67" s="19" t="n">
        <f aca="false">IF(A67="","",IF(A67=$B$5,D67+E67,$E$3))</f>
        <v>4272</v>
      </c>
      <c r="H67" s="19" t="n">
        <f aca="false">IF(A67="","",D67+E67-G67)</f>
        <v>40814</v>
      </c>
      <c r="I67" s="20" t="n">
        <f aca="false">IF(A67="","",(B67-$B$7)/365)</f>
        <v>4.23561643835616</v>
      </c>
      <c r="J67" s="21" t="n">
        <f aca="false">IF(A67="","",(1+$E$11)^(-I67))</f>
        <v>0.654399157729666</v>
      </c>
      <c r="K67" s="22" t="n">
        <f aca="false">IF(A67="","",G67*J67)</f>
        <v>2795.59320182113</v>
      </c>
      <c r="L67" s="23" t="n">
        <f aca="false">IF(A67="","",L66/(1+$B$4*C67/$B$9))</f>
        <v>0.657272455243086</v>
      </c>
      <c r="M67" s="24" t="n">
        <f aca="false">IF(A67="",$B$7+1,B67)</f>
        <v>47906</v>
      </c>
      <c r="N67" s="25" t="n">
        <f aca="false">IF(A67="",0,-G67)</f>
        <v>-4272</v>
      </c>
      <c r="O67" s="25" t="n">
        <f aca="false">IF(A67="",0,-G67)</f>
        <v>-4272</v>
      </c>
    </row>
    <row r="68" customFormat="false" ht="15" hidden="false" customHeight="false" outlineLevel="0" collapsed="false">
      <c r="A68" s="16" t="n">
        <f aca="false">IF(ROW()-17&lt;=$B$5,ROW()-17,"")</f>
        <v>51</v>
      </c>
      <c r="B68" s="17" t="n">
        <f aca="false">IF(A68="","",EDATE($B$8,A68-1))</f>
        <v>47934</v>
      </c>
      <c r="C68" s="16" t="n">
        <f aca="false">IF(A68="","",B68-B67)</f>
        <v>28</v>
      </c>
      <c r="D68" s="19" t="n">
        <f aca="false">IF(A68="","",H67)</f>
        <v>40814</v>
      </c>
      <c r="E68" s="19" t="n">
        <f aca="false">IF(A68="","",ROUND(D68*$B$4*C68/$B$9,0))</f>
        <v>312</v>
      </c>
      <c r="F68" s="19" t="n">
        <f aca="false">IF(A68="","",G68-E68)</f>
        <v>3960</v>
      </c>
      <c r="G68" s="19" t="n">
        <f aca="false">IF(A68="","",IF(A68=$B$5,D68+E68,$E$3))</f>
        <v>4272</v>
      </c>
      <c r="H68" s="19" t="n">
        <f aca="false">IF(A68="","",D68+E68-G68)</f>
        <v>36854</v>
      </c>
      <c r="I68" s="20" t="n">
        <f aca="false">IF(A68="","",(B68-$B$7)/365)</f>
        <v>4.31232876712329</v>
      </c>
      <c r="J68" s="21" t="n">
        <f aca="false">IF(A68="","",(1+$E$11)^(-I68))</f>
        <v>0.649392715212415</v>
      </c>
      <c r="K68" s="22" t="n">
        <f aca="false">IF(A68="","",G68*J68)</f>
        <v>2774.20567938744</v>
      </c>
      <c r="L68" s="23" t="n">
        <f aca="false">IF(A68="","",L67/(1+$B$4*C68/$B$9))</f>
        <v>0.652293578776044</v>
      </c>
      <c r="M68" s="24" t="n">
        <f aca="false">IF(A68="",$B$7+1,B68)</f>
        <v>47934</v>
      </c>
      <c r="N68" s="25" t="n">
        <f aca="false">IF(A68="",0,-G68)</f>
        <v>-4272</v>
      </c>
      <c r="O68" s="25" t="n">
        <f aca="false">IF(A68="",0,-G68)</f>
        <v>-4272</v>
      </c>
    </row>
    <row r="69" customFormat="false" ht="15" hidden="false" customHeight="false" outlineLevel="0" collapsed="false">
      <c r="A69" s="16" t="n">
        <f aca="false">IF(ROW()-17&lt;=$B$5,ROW()-17,"")</f>
        <v>52</v>
      </c>
      <c r="B69" s="17" t="n">
        <f aca="false">IF(A69="","",EDATE($B$8,A69-1))</f>
        <v>47965</v>
      </c>
      <c r="C69" s="16" t="n">
        <f aca="false">IF(A69="","",B69-B68)</f>
        <v>31</v>
      </c>
      <c r="D69" s="19" t="n">
        <f aca="false">IF(A69="","",H68)</f>
        <v>36854</v>
      </c>
      <c r="E69" s="19" t="n">
        <f aca="false">IF(A69="","",ROUND(D69*$B$4*C69/$B$9,0))</f>
        <v>311</v>
      </c>
      <c r="F69" s="19" t="n">
        <f aca="false">IF(A69="","",G69-E69)</f>
        <v>3961</v>
      </c>
      <c r="G69" s="19" t="n">
        <f aca="false">IF(A69="","",IF(A69=$B$5,D69+E69,$E$3))</f>
        <v>4272</v>
      </c>
      <c r="H69" s="19" t="n">
        <f aca="false">IF(A69="","",D69+E69-G69)</f>
        <v>32893</v>
      </c>
      <c r="I69" s="20" t="n">
        <f aca="false">IF(A69="","",(B69-$B$7)/365)</f>
        <v>4.3972602739726</v>
      </c>
      <c r="J69" s="21" t="n">
        <f aca="false">IF(A69="","",(1+$E$11)^(-I69))</f>
        <v>0.643894532848019</v>
      </c>
      <c r="K69" s="22" t="n">
        <f aca="false">IF(A69="","",G69*J69)</f>
        <v>2750.71744432674</v>
      </c>
      <c r="L69" s="23" t="n">
        <f aca="false">IF(A69="","",L68/(1+$B$4*C69/$B$9))</f>
        <v>0.646827443843074</v>
      </c>
      <c r="M69" s="24" t="n">
        <f aca="false">IF(A69="",$B$7+1,B69)</f>
        <v>47965</v>
      </c>
      <c r="N69" s="25" t="n">
        <f aca="false">IF(A69="",0,-G69)</f>
        <v>-4272</v>
      </c>
      <c r="O69" s="25" t="n">
        <f aca="false">IF(A69="",0,-G69)</f>
        <v>-4272</v>
      </c>
    </row>
    <row r="70" customFormat="false" ht="15" hidden="false" customHeight="false" outlineLevel="0" collapsed="false">
      <c r="A70" s="16" t="n">
        <f aca="false">IF(ROW()-17&lt;=$B$5,ROW()-17,"")</f>
        <v>53</v>
      </c>
      <c r="B70" s="17" t="n">
        <f aca="false">IF(A70="","",EDATE($B$8,A70-1))</f>
        <v>47995</v>
      </c>
      <c r="C70" s="16" t="n">
        <f aca="false">IF(A70="","",B70-B69)</f>
        <v>30</v>
      </c>
      <c r="D70" s="19" t="n">
        <f aca="false">IF(A70="","",H69)</f>
        <v>32893</v>
      </c>
      <c r="E70" s="19" t="n">
        <f aca="false">IF(A70="","",ROUND(D70*$B$4*C70/$B$9,0))</f>
        <v>269</v>
      </c>
      <c r="F70" s="19" t="n">
        <f aca="false">IF(A70="","",G70-E70)</f>
        <v>4003</v>
      </c>
      <c r="G70" s="19" t="n">
        <f aca="false">IF(A70="","",IF(A70=$B$5,D70+E70,$E$3))</f>
        <v>4272</v>
      </c>
      <c r="H70" s="19" t="n">
        <f aca="false">IF(A70="","",D70+E70-G70)</f>
        <v>28890</v>
      </c>
      <c r="I70" s="20" t="n">
        <f aca="false">IF(A70="","",(B70-$B$7)/365)</f>
        <v>4.47945205479452</v>
      </c>
      <c r="J70" s="21" t="n">
        <f aca="false">IF(A70="","",(1+$E$11)^(-I70))</f>
        <v>0.63861803819055</v>
      </c>
      <c r="K70" s="22" t="n">
        <f aca="false">IF(A70="","",G70*J70)</f>
        <v>2728.17625915003</v>
      </c>
      <c r="L70" s="23" t="n">
        <f aca="false">IF(A70="","",L69/(1+$B$4*C70/$B$9))</f>
        <v>0.641580545410064</v>
      </c>
      <c r="M70" s="24" t="n">
        <f aca="false">IF(A70="",$B$7+1,B70)</f>
        <v>47995</v>
      </c>
      <c r="N70" s="25" t="n">
        <f aca="false">IF(A70="",0,-G70)</f>
        <v>-4272</v>
      </c>
      <c r="O70" s="25" t="n">
        <f aca="false">IF(A70="",0,-G70)</f>
        <v>-4272</v>
      </c>
    </row>
    <row r="71" customFormat="false" ht="15" hidden="false" customHeight="false" outlineLevel="0" collapsed="false">
      <c r="A71" s="16" t="n">
        <f aca="false">IF(ROW()-17&lt;=$B$5,ROW()-17,"")</f>
        <v>54</v>
      </c>
      <c r="B71" s="17" t="n">
        <f aca="false">IF(A71="","",EDATE($B$8,A71-1))</f>
        <v>48026</v>
      </c>
      <c r="C71" s="16" t="n">
        <f aca="false">IF(A71="","",B71-B70)</f>
        <v>31</v>
      </c>
      <c r="D71" s="19" t="n">
        <f aca="false">IF(A71="","",H70)</f>
        <v>28890</v>
      </c>
      <c r="E71" s="19" t="n">
        <f aca="false">IF(A71="","",ROUND(D71*$B$4*C71/$B$9,0))</f>
        <v>244</v>
      </c>
      <c r="F71" s="19" t="n">
        <f aca="false">IF(A71="","",G71-E71)</f>
        <v>4028</v>
      </c>
      <c r="G71" s="19" t="n">
        <f aca="false">IF(A71="","",IF(A71=$B$5,D71+E71,$E$3))</f>
        <v>4272</v>
      </c>
      <c r="H71" s="19" t="n">
        <f aca="false">IF(A71="","",D71+E71-G71)</f>
        <v>24862</v>
      </c>
      <c r="I71" s="20" t="n">
        <f aca="false">IF(A71="","",(B71-$B$7)/365)</f>
        <v>4.56438356164384</v>
      </c>
      <c r="J71" s="21" t="n">
        <f aca="false">IF(A71="","",(1+$E$11)^(-I71))</f>
        <v>0.633211081270782</v>
      </c>
      <c r="K71" s="22" t="n">
        <f aca="false">IF(A71="","",G71*J71)</f>
        <v>2705.07773918878</v>
      </c>
      <c r="L71" s="23" t="n">
        <f aca="false">IF(A71="","",L70/(1+$B$4*C71/$B$9))</f>
        <v>0.636204184296468</v>
      </c>
      <c r="M71" s="24" t="n">
        <f aca="false">IF(A71="",$B$7+1,B71)</f>
        <v>48026</v>
      </c>
      <c r="N71" s="25" t="n">
        <f aca="false">IF(A71="",0,-G71)</f>
        <v>-4272</v>
      </c>
      <c r="O71" s="25" t="n">
        <f aca="false">IF(A71="",0,-G71)</f>
        <v>-4272</v>
      </c>
    </row>
    <row r="72" customFormat="false" ht="15" hidden="false" customHeight="false" outlineLevel="0" collapsed="false">
      <c r="A72" s="16" t="n">
        <f aca="false">IF(ROW()-17&lt;=$B$5,ROW()-17,"")</f>
        <v>55</v>
      </c>
      <c r="B72" s="17" t="n">
        <f aca="false">IF(A72="","",EDATE($B$8,A72-1))</f>
        <v>48056</v>
      </c>
      <c r="C72" s="16" t="n">
        <f aca="false">IF(A72="","",B72-B71)</f>
        <v>30</v>
      </c>
      <c r="D72" s="19" t="n">
        <f aca="false">IF(A72="","",H71)</f>
        <v>24862</v>
      </c>
      <c r="E72" s="19" t="n">
        <f aca="false">IF(A72="","",ROUND(D72*$B$4*C72/$B$9,0))</f>
        <v>203</v>
      </c>
      <c r="F72" s="19" t="n">
        <f aca="false">IF(A72="","",G72-E72)</f>
        <v>4069</v>
      </c>
      <c r="G72" s="19" t="n">
        <f aca="false">IF(A72="","",IF(A72=$B$5,D72+E72,$E$3))</f>
        <v>4272</v>
      </c>
      <c r="H72" s="19" t="n">
        <f aca="false">IF(A72="","",D72+E72-G72)</f>
        <v>20793</v>
      </c>
      <c r="I72" s="20" t="n">
        <f aca="false">IF(A72="","",(B72-$B$7)/365)</f>
        <v>4.64657534246575</v>
      </c>
      <c r="J72" s="21" t="n">
        <f aca="false">IF(A72="","",(1+$E$11)^(-I72))</f>
        <v>0.628022133831522</v>
      </c>
      <c r="K72" s="22" t="n">
        <f aca="false">IF(A72="","",G72*J72)</f>
        <v>2682.91055572826</v>
      </c>
      <c r="L72" s="23" t="n">
        <f aca="false">IF(A72="","",L71/(1+$B$4*C72/$B$9))</f>
        <v>0.631043459022</v>
      </c>
      <c r="M72" s="24" t="n">
        <f aca="false">IF(A72="",$B$7+1,B72)</f>
        <v>48056</v>
      </c>
      <c r="N72" s="25" t="n">
        <f aca="false">IF(A72="",0,-G72)</f>
        <v>-4272</v>
      </c>
      <c r="O72" s="25" t="n">
        <f aca="false">IF(A72="",0,-G72)</f>
        <v>-4272</v>
      </c>
    </row>
    <row r="73" customFormat="false" ht="15" hidden="false" customHeight="false" outlineLevel="0" collapsed="false">
      <c r="A73" s="16" t="n">
        <f aca="false">IF(ROW()-17&lt;=$B$5,ROW()-17,"")</f>
        <v>56</v>
      </c>
      <c r="B73" s="17" t="n">
        <f aca="false">IF(A73="","",EDATE($B$8,A73-1))</f>
        <v>48087</v>
      </c>
      <c r="C73" s="16" t="n">
        <f aca="false">IF(A73="","",B73-B72)</f>
        <v>31</v>
      </c>
      <c r="D73" s="19" t="n">
        <f aca="false">IF(A73="","",H72)</f>
        <v>20793</v>
      </c>
      <c r="E73" s="19" t="n">
        <f aca="false">IF(A73="","",ROUND(D73*$B$4*C73/$B$9,0))</f>
        <v>176</v>
      </c>
      <c r="F73" s="19" t="n">
        <f aca="false">IF(A73="","",G73-E73)</f>
        <v>4096</v>
      </c>
      <c r="G73" s="19" t="n">
        <f aca="false">IF(A73="","",IF(A73=$B$5,D73+E73,$E$3))</f>
        <v>4272</v>
      </c>
      <c r="H73" s="19" t="n">
        <f aca="false">IF(A73="","",D73+E73-G73)</f>
        <v>16697</v>
      </c>
      <c r="I73" s="20" t="n">
        <f aca="false">IF(A73="","",(B73-$B$7)/365)</f>
        <v>4.73150684931507</v>
      </c>
      <c r="J73" s="21" t="n">
        <f aca="false">IF(A73="","",(1+$E$11)^(-I73))</f>
        <v>0.622704888750395</v>
      </c>
      <c r="K73" s="22" t="n">
        <f aca="false">IF(A73="","",G73*J73)</f>
        <v>2660.19528474169</v>
      </c>
      <c r="L73" s="23" t="n">
        <f aca="false">IF(A73="","",L72/(1+$B$4*C73/$B$9))</f>
        <v>0.6257553973151</v>
      </c>
      <c r="M73" s="24" t="n">
        <f aca="false">IF(A73="",$B$7+1,B73)</f>
        <v>48087</v>
      </c>
      <c r="N73" s="25" t="n">
        <f aca="false">IF(A73="",0,-G73)</f>
        <v>-4272</v>
      </c>
      <c r="O73" s="25" t="n">
        <f aca="false">IF(A73="",0,-G73)</f>
        <v>-4272</v>
      </c>
    </row>
    <row r="74" customFormat="false" ht="15" hidden="false" customHeight="false" outlineLevel="0" collapsed="false">
      <c r="A74" s="16" t="n">
        <f aca="false">IF(ROW()-17&lt;=$B$5,ROW()-17,"")</f>
        <v>57</v>
      </c>
      <c r="B74" s="17" t="n">
        <f aca="false">IF(A74="","",EDATE($B$8,A74-1))</f>
        <v>48118</v>
      </c>
      <c r="C74" s="16" t="n">
        <f aca="false">IF(A74="","",B74-B73)</f>
        <v>31</v>
      </c>
      <c r="D74" s="19" t="n">
        <f aca="false">IF(A74="","",H73)</f>
        <v>16697</v>
      </c>
      <c r="E74" s="19" t="n">
        <f aca="false">IF(A74="","",ROUND(D74*$B$4*C74/$B$9,0))</f>
        <v>141</v>
      </c>
      <c r="F74" s="19" t="n">
        <f aca="false">IF(A74="","",G74-E74)</f>
        <v>4131</v>
      </c>
      <c r="G74" s="19" t="n">
        <f aca="false">IF(A74="","",IF(A74=$B$5,D74+E74,$E$3))</f>
        <v>4272</v>
      </c>
      <c r="H74" s="19" t="n">
        <f aca="false">IF(A74="","",D74+E74-G74)</f>
        <v>12566</v>
      </c>
      <c r="I74" s="20" t="n">
        <f aca="false">IF(A74="","",(B74-$B$7)/365)</f>
        <v>4.81643835616438</v>
      </c>
      <c r="J74" s="21" t="n">
        <f aca="false">IF(A74="","",(1+$E$11)^(-I74))</f>
        <v>0.61743266293488</v>
      </c>
      <c r="K74" s="22" t="n">
        <f aca="false">IF(A74="","",G74*J74)</f>
        <v>2637.67233605781</v>
      </c>
      <c r="L74" s="23" t="n">
        <f aca="false">IF(A74="","",L73/(1+$B$4*C74/$B$9))</f>
        <v>0.620511648874135</v>
      </c>
      <c r="M74" s="24" t="n">
        <f aca="false">IF(A74="",$B$7+1,B74)</f>
        <v>48118</v>
      </c>
      <c r="N74" s="25" t="n">
        <f aca="false">IF(A74="",0,-G74)</f>
        <v>-4272</v>
      </c>
      <c r="O74" s="25" t="n">
        <f aca="false">IF(A74="",0,-G74)</f>
        <v>-4272</v>
      </c>
    </row>
    <row r="75" customFormat="false" ht="15" hidden="false" customHeight="false" outlineLevel="0" collapsed="false">
      <c r="A75" s="16" t="n">
        <f aca="false">IF(ROW()-17&lt;=$B$5,ROW()-17,"")</f>
        <v>58</v>
      </c>
      <c r="B75" s="17" t="n">
        <f aca="false">IF(A75="","",EDATE($B$8,A75-1))</f>
        <v>48148</v>
      </c>
      <c r="C75" s="16" t="n">
        <f aca="false">IF(A75="","",B75-B74)</f>
        <v>30</v>
      </c>
      <c r="D75" s="19" t="n">
        <f aca="false">IF(A75="","",H74)</f>
        <v>12566</v>
      </c>
      <c r="E75" s="19" t="n">
        <f aca="false">IF(A75="","",ROUND(D75*$B$4*C75/$B$9,0))</f>
        <v>103</v>
      </c>
      <c r="F75" s="19" t="n">
        <f aca="false">IF(A75="","",G75-E75)</f>
        <v>4169</v>
      </c>
      <c r="G75" s="19" t="n">
        <f aca="false">IF(A75="","",IF(A75=$B$5,D75+E75,$E$3))</f>
        <v>4272</v>
      </c>
      <c r="H75" s="19" t="n">
        <f aca="false">IF(A75="","",D75+E75-G75)</f>
        <v>8397</v>
      </c>
      <c r="I75" s="20" t="n">
        <f aca="false">IF(A75="","",(B75-$B$7)/365)</f>
        <v>4.8986301369863</v>
      </c>
      <c r="J75" s="21" t="n">
        <f aca="false">IF(A75="","",(1+$E$11)^(-I75))</f>
        <v>0.61237301421739</v>
      </c>
      <c r="K75" s="22" t="n">
        <f aca="false">IF(A75="","",G75*J75)</f>
        <v>2616.05751673669</v>
      </c>
      <c r="L75" s="23" t="n">
        <f aca="false">IF(A75="","",L74/(1+$B$4*C75/$B$9))</f>
        <v>0.615478217424785</v>
      </c>
      <c r="M75" s="24" t="n">
        <f aca="false">IF(A75="",$B$7+1,B75)</f>
        <v>48148</v>
      </c>
      <c r="N75" s="25" t="n">
        <f aca="false">IF(A75="",0,-G75)</f>
        <v>-4272</v>
      </c>
      <c r="O75" s="25" t="n">
        <f aca="false">IF(A75="",0,-G75)</f>
        <v>-4272</v>
      </c>
    </row>
    <row r="76" customFormat="false" ht="15" hidden="false" customHeight="false" outlineLevel="0" collapsed="false">
      <c r="A76" s="16" t="n">
        <f aca="false">IF(ROW()-17&lt;=$B$5,ROW()-17,"")</f>
        <v>59</v>
      </c>
      <c r="B76" s="17" t="n">
        <f aca="false">IF(A76="","",EDATE($B$8,A76-1))</f>
        <v>48179</v>
      </c>
      <c r="C76" s="16" t="n">
        <f aca="false">IF(A76="","",B76-B75)</f>
        <v>31</v>
      </c>
      <c r="D76" s="19" t="n">
        <f aca="false">IF(A76="","",H75)</f>
        <v>8397</v>
      </c>
      <c r="E76" s="19" t="n">
        <f aca="false">IF(A76="","",ROUND(D76*$B$4*C76/$B$9,0))</f>
        <v>71</v>
      </c>
      <c r="F76" s="19" t="n">
        <f aca="false">IF(A76="","",G76-E76)</f>
        <v>4201</v>
      </c>
      <c r="G76" s="19" t="n">
        <f aca="false">IF(A76="","",IF(A76=$B$5,D76+E76,$E$3))</f>
        <v>4272</v>
      </c>
      <c r="H76" s="19" t="n">
        <f aca="false">IF(A76="","",D76+E76-G76)</f>
        <v>4196</v>
      </c>
      <c r="I76" s="20" t="n">
        <f aca="false">IF(A76="","",(B76-$B$7)/365)</f>
        <v>4.98356164383562</v>
      </c>
      <c r="J76" s="21" t="n">
        <f aca="false">IF(A76="","",(1+$E$11)^(-I76))</f>
        <v>0.607188264791767</v>
      </c>
      <c r="K76" s="22" t="n">
        <f aca="false">IF(A76="","",G76*J76)</f>
        <v>2593.90826719043</v>
      </c>
      <c r="L76" s="23" t="n">
        <f aca="false">IF(A76="","",L75/(1+$B$4*C76/$B$9))</f>
        <v>0.610320590408035</v>
      </c>
      <c r="M76" s="24" t="n">
        <f aca="false">IF(A76="",$B$7+1,B76)</f>
        <v>48179</v>
      </c>
      <c r="N76" s="25" t="n">
        <f aca="false">IF(A76="",0,-G76)</f>
        <v>-4272</v>
      </c>
      <c r="O76" s="25" t="n">
        <f aca="false">IF(A76="",0,-G76)</f>
        <v>-4272</v>
      </c>
    </row>
    <row r="77" customFormat="false" ht="15" hidden="false" customHeight="false" outlineLevel="0" collapsed="false">
      <c r="A77" s="16" t="n">
        <f aca="false">IF(ROW()-17&lt;=$B$5,ROW()-17,"")</f>
        <v>60</v>
      </c>
      <c r="B77" s="17" t="n">
        <f aca="false">IF(A77="","",EDATE($B$8,A77-1))</f>
        <v>48209</v>
      </c>
      <c r="C77" s="16" t="n">
        <f aca="false">IF(A77="","",B77-B76)</f>
        <v>30</v>
      </c>
      <c r="D77" s="19" t="n">
        <f aca="false">IF(A77="","",H76)</f>
        <v>4196</v>
      </c>
      <c r="E77" s="19" t="n">
        <f aca="false">IF(A77="","",ROUND(D77*$B$4*C77/$B$9,0))</f>
        <v>34</v>
      </c>
      <c r="F77" s="19" t="n">
        <f aca="false">IF(A77="","",G77-E77)</f>
        <v>4196</v>
      </c>
      <c r="G77" s="19" t="n">
        <f aca="false">IF(A77="","",IF(A77=$B$5,D77+E77,$E$3))</f>
        <v>4230</v>
      </c>
      <c r="H77" s="19" t="n">
        <f aca="false">IF(A77="","",D77+E77-G77)</f>
        <v>0</v>
      </c>
      <c r="I77" s="20" t="n">
        <f aca="false">IF(A77="","",(B77-$B$7)/365)</f>
        <v>5.06575342465753</v>
      </c>
      <c r="J77" s="21" t="n">
        <f aca="false">IF(A77="","",(1+$E$11)^(-I77))</f>
        <v>0.602212565400314</v>
      </c>
      <c r="K77" s="22" t="n">
        <f aca="false">IF(A77="","",G77*J77)</f>
        <v>2547.35915164333</v>
      </c>
      <c r="L77" s="23" t="n">
        <f aca="false">IF(A77="","",L76/(1+$B$4*C77/$B$9))</f>
        <v>0.605369826212842</v>
      </c>
      <c r="M77" s="24" t="n">
        <f aca="false">IF(A77="",$B$7+1,B77)</f>
        <v>48209</v>
      </c>
      <c r="N77" s="25" t="n">
        <f aca="false">IF(A77="",0,-G77)</f>
        <v>-4230</v>
      </c>
      <c r="O77" s="25" t="n">
        <f aca="false">IF(A77="",0,-G77)</f>
        <v>-4230</v>
      </c>
    </row>
    <row r="78" customFormat="false" ht="15" hidden="false" customHeight="false" outlineLevel="0" collapsed="false">
      <c r="A78" s="16" t="str">
        <f aca="false">IF(ROW()-17&lt;=$B$5,ROW()-17,"")</f>
        <v/>
      </c>
      <c r="B78" s="17" t="str">
        <f aca="false">IF(A78="","",EDATE($B$8,A78-1))</f>
        <v/>
      </c>
      <c r="C78" s="16" t="str">
        <f aca="false">IF(A78="","",B78-B77)</f>
        <v/>
      </c>
      <c r="D78" s="19" t="str">
        <f aca="false">IF(A78="","",H77)</f>
        <v/>
      </c>
      <c r="E78" s="19" t="str">
        <f aca="false">IF(A78="","",ROUND(D78*$B$4*C78/$B$9,0))</f>
        <v/>
      </c>
      <c r="F78" s="19" t="str">
        <f aca="false">IF(A78="","",G78-E78)</f>
        <v/>
      </c>
      <c r="G78" s="19" t="str">
        <f aca="false">IF(A78="","",IF(A78=$B$5,D78+E78,$E$3))</f>
        <v/>
      </c>
      <c r="H78" s="19" t="str">
        <f aca="false">IF(A78="","",D78+E78-G78)</f>
        <v/>
      </c>
      <c r="I78" s="20" t="str">
        <f aca="false">IF(A78="","",(B78-$B$7)/365)</f>
        <v/>
      </c>
      <c r="J78" s="21" t="str">
        <f aca="false">IF(A78="","",(1+$E$11)^(-I78))</f>
        <v/>
      </c>
      <c r="K78" s="22" t="str">
        <f aca="false">IF(A78="","",G78*J78)</f>
        <v/>
      </c>
      <c r="L78" s="23" t="str">
        <f aca="false">IF(A78="","",L77/(1+$B$4*C78/$B$9))</f>
        <v/>
      </c>
      <c r="M78" s="24" t="n">
        <f aca="false">IF(A78="",$B$7+1,B78)</f>
        <v>46361</v>
      </c>
      <c r="N78" s="25" t="n">
        <f aca="false">IF(A78="",0,-G78)</f>
        <v>0</v>
      </c>
      <c r="O78" s="25" t="n">
        <f aca="false">IF(A78="",0,-G78)</f>
        <v>0</v>
      </c>
    </row>
    <row r="79" customFormat="false" ht="15" hidden="false" customHeight="false" outlineLevel="0" collapsed="false">
      <c r="A79" s="16" t="str">
        <f aca="false">IF(ROW()-17&lt;=$B$5,ROW()-17,"")</f>
        <v/>
      </c>
      <c r="B79" s="17" t="str">
        <f aca="false">IF(A79="","",EDATE($B$8,A79-1))</f>
        <v/>
      </c>
      <c r="C79" s="16" t="str">
        <f aca="false">IF(A79="","",B79-B78)</f>
        <v/>
      </c>
      <c r="D79" s="19" t="str">
        <f aca="false">IF(A79="","",H78)</f>
        <v/>
      </c>
      <c r="E79" s="19" t="str">
        <f aca="false">IF(A79="","",ROUND(D79*$B$4*C79/$B$9,0))</f>
        <v/>
      </c>
      <c r="F79" s="19" t="str">
        <f aca="false">IF(A79="","",G79-E79)</f>
        <v/>
      </c>
      <c r="G79" s="19" t="str">
        <f aca="false">IF(A79="","",IF(A79=$B$5,D79+E79,$E$3))</f>
        <v/>
      </c>
      <c r="H79" s="19" t="str">
        <f aca="false">IF(A79="","",D79+E79-G79)</f>
        <v/>
      </c>
      <c r="I79" s="20" t="str">
        <f aca="false">IF(A79="","",(B79-$B$7)/365)</f>
        <v/>
      </c>
      <c r="J79" s="21" t="str">
        <f aca="false">IF(A79="","",(1+$E$11)^(-I79))</f>
        <v/>
      </c>
      <c r="K79" s="22" t="str">
        <f aca="false">IF(A79="","",G79*J79)</f>
        <v/>
      </c>
      <c r="L79" s="23" t="str">
        <f aca="false">IF(A79="","",L78/(1+$B$4*C79/$B$9))</f>
        <v/>
      </c>
      <c r="M79" s="24" t="n">
        <f aca="false">IF(A79="",$B$7+1,B79)</f>
        <v>46361</v>
      </c>
      <c r="N79" s="25" t="n">
        <f aca="false">IF(A79="",0,-G79)</f>
        <v>0</v>
      </c>
      <c r="O79" s="25" t="n">
        <f aca="false">IF(A79="",0,-G79)</f>
        <v>0</v>
      </c>
    </row>
    <row r="80" customFormat="false" ht="15" hidden="false" customHeight="false" outlineLevel="0" collapsed="false">
      <c r="A80" s="16" t="str">
        <f aca="false">IF(ROW()-17&lt;=$B$5,ROW()-17,"")</f>
        <v/>
      </c>
      <c r="B80" s="17" t="str">
        <f aca="false">IF(A80="","",EDATE($B$8,A80-1))</f>
        <v/>
      </c>
      <c r="C80" s="16" t="str">
        <f aca="false">IF(A80="","",B80-B79)</f>
        <v/>
      </c>
      <c r="D80" s="19" t="str">
        <f aca="false">IF(A80="","",H79)</f>
        <v/>
      </c>
      <c r="E80" s="19" t="str">
        <f aca="false">IF(A80="","",ROUND(D80*$B$4*C80/$B$9,0))</f>
        <v/>
      </c>
      <c r="F80" s="19" t="str">
        <f aca="false">IF(A80="","",G80-E80)</f>
        <v/>
      </c>
      <c r="G80" s="19" t="str">
        <f aca="false">IF(A80="","",IF(A80=$B$5,D80+E80,$E$3))</f>
        <v/>
      </c>
      <c r="H80" s="19" t="str">
        <f aca="false">IF(A80="","",D80+E80-G80)</f>
        <v/>
      </c>
      <c r="I80" s="20" t="str">
        <f aca="false">IF(A80="","",(B80-$B$7)/365)</f>
        <v/>
      </c>
      <c r="J80" s="21" t="str">
        <f aca="false">IF(A80="","",(1+$E$11)^(-I80))</f>
        <v/>
      </c>
      <c r="K80" s="22" t="str">
        <f aca="false">IF(A80="","",G80*J80)</f>
        <v/>
      </c>
      <c r="L80" s="23" t="str">
        <f aca="false">IF(A80="","",L79/(1+$B$4*C80/$B$9))</f>
        <v/>
      </c>
      <c r="M80" s="24" t="n">
        <f aca="false">IF(A80="",$B$7+1,B80)</f>
        <v>46361</v>
      </c>
      <c r="N80" s="25" t="n">
        <f aca="false">IF(A80="",0,-G80)</f>
        <v>0</v>
      </c>
      <c r="O80" s="25" t="n">
        <f aca="false">IF(A80="",0,-G80)</f>
        <v>0</v>
      </c>
    </row>
    <row r="81" customFormat="false" ht="15" hidden="false" customHeight="false" outlineLevel="0" collapsed="false">
      <c r="A81" s="16" t="str">
        <f aca="false">IF(ROW()-17&lt;=$B$5,ROW()-17,"")</f>
        <v/>
      </c>
      <c r="B81" s="17" t="str">
        <f aca="false">IF(A81="","",EDATE($B$8,A81-1))</f>
        <v/>
      </c>
      <c r="C81" s="16" t="str">
        <f aca="false">IF(A81="","",B81-B80)</f>
        <v/>
      </c>
      <c r="D81" s="19" t="str">
        <f aca="false">IF(A81="","",H80)</f>
        <v/>
      </c>
      <c r="E81" s="19" t="str">
        <f aca="false">IF(A81="","",ROUND(D81*$B$4*C81/$B$9,0))</f>
        <v/>
      </c>
      <c r="F81" s="19" t="str">
        <f aca="false">IF(A81="","",G81-E81)</f>
        <v/>
      </c>
      <c r="G81" s="19" t="str">
        <f aca="false">IF(A81="","",IF(A81=$B$5,D81+E81,$E$3))</f>
        <v/>
      </c>
      <c r="H81" s="19" t="str">
        <f aca="false">IF(A81="","",D81+E81-G81)</f>
        <v/>
      </c>
      <c r="I81" s="20" t="str">
        <f aca="false">IF(A81="","",(B81-$B$7)/365)</f>
        <v/>
      </c>
      <c r="J81" s="21" t="str">
        <f aca="false">IF(A81="","",(1+$E$11)^(-I81))</f>
        <v/>
      </c>
      <c r="K81" s="22" t="str">
        <f aca="false">IF(A81="","",G81*J81)</f>
        <v/>
      </c>
      <c r="L81" s="23" t="str">
        <f aca="false">IF(A81="","",L80/(1+$B$4*C81/$B$9))</f>
        <v/>
      </c>
      <c r="M81" s="24" t="n">
        <f aca="false">IF(A81="",$B$7+1,B81)</f>
        <v>46361</v>
      </c>
      <c r="N81" s="25" t="n">
        <f aca="false">IF(A81="",0,-G81)</f>
        <v>0</v>
      </c>
      <c r="O81" s="25" t="n">
        <f aca="false">IF(A81="",0,-G81)</f>
        <v>0</v>
      </c>
    </row>
    <row r="82" customFormat="false" ht="15" hidden="false" customHeight="false" outlineLevel="0" collapsed="false">
      <c r="A82" s="16" t="str">
        <f aca="false">IF(ROW()-17&lt;=$B$5,ROW()-17,"")</f>
        <v/>
      </c>
      <c r="B82" s="17" t="str">
        <f aca="false">IF(A82="","",EDATE($B$8,A82-1))</f>
        <v/>
      </c>
      <c r="C82" s="16" t="str">
        <f aca="false">IF(A82="","",B82-B81)</f>
        <v/>
      </c>
      <c r="D82" s="19" t="str">
        <f aca="false">IF(A82="","",H81)</f>
        <v/>
      </c>
      <c r="E82" s="19" t="str">
        <f aca="false">IF(A82="","",ROUND(D82*$B$4*C82/$B$9,0))</f>
        <v/>
      </c>
      <c r="F82" s="19" t="str">
        <f aca="false">IF(A82="","",G82-E82)</f>
        <v/>
      </c>
      <c r="G82" s="19" t="str">
        <f aca="false">IF(A82="","",IF(A82=$B$5,D82+E82,$E$3))</f>
        <v/>
      </c>
      <c r="H82" s="19" t="str">
        <f aca="false">IF(A82="","",D82+E82-G82)</f>
        <v/>
      </c>
      <c r="I82" s="20" t="str">
        <f aca="false">IF(A82="","",(B82-$B$7)/365)</f>
        <v/>
      </c>
      <c r="J82" s="21" t="str">
        <f aca="false">IF(A82="","",(1+$E$11)^(-I82))</f>
        <v/>
      </c>
      <c r="K82" s="22" t="str">
        <f aca="false">IF(A82="","",G82*J82)</f>
        <v/>
      </c>
      <c r="L82" s="23" t="str">
        <f aca="false">IF(A82="","",L81/(1+$B$4*C82/$B$9))</f>
        <v/>
      </c>
      <c r="M82" s="24" t="n">
        <f aca="false">IF(A82="",$B$7+1,B82)</f>
        <v>46361</v>
      </c>
      <c r="N82" s="25" t="n">
        <f aca="false">IF(A82="",0,-G82)</f>
        <v>0</v>
      </c>
      <c r="O82" s="25" t="n">
        <f aca="false">IF(A82="",0,-G82)</f>
        <v>0</v>
      </c>
    </row>
    <row r="83" customFormat="false" ht="15" hidden="false" customHeight="false" outlineLevel="0" collapsed="false">
      <c r="A83" s="16" t="str">
        <f aca="false">IF(ROW()-17&lt;=$B$5,ROW()-17,"")</f>
        <v/>
      </c>
      <c r="B83" s="17" t="str">
        <f aca="false">IF(A83="","",EDATE($B$8,A83-1))</f>
        <v/>
      </c>
      <c r="C83" s="16" t="str">
        <f aca="false">IF(A83="","",B83-B82)</f>
        <v/>
      </c>
      <c r="D83" s="19" t="str">
        <f aca="false">IF(A83="","",H82)</f>
        <v/>
      </c>
      <c r="E83" s="19" t="str">
        <f aca="false">IF(A83="","",ROUND(D83*$B$4*C83/$B$9,0))</f>
        <v/>
      </c>
      <c r="F83" s="19" t="str">
        <f aca="false">IF(A83="","",G83-E83)</f>
        <v/>
      </c>
      <c r="G83" s="19" t="str">
        <f aca="false">IF(A83="","",IF(A83=$B$5,D83+E83,$E$3))</f>
        <v/>
      </c>
      <c r="H83" s="19" t="str">
        <f aca="false">IF(A83="","",D83+E83-G83)</f>
        <v/>
      </c>
      <c r="I83" s="20" t="str">
        <f aca="false">IF(A83="","",(B83-$B$7)/365)</f>
        <v/>
      </c>
      <c r="J83" s="21" t="str">
        <f aca="false">IF(A83="","",(1+$E$11)^(-I83))</f>
        <v/>
      </c>
      <c r="K83" s="22" t="str">
        <f aca="false">IF(A83="","",G83*J83)</f>
        <v/>
      </c>
      <c r="L83" s="23" t="str">
        <f aca="false">IF(A83="","",L82/(1+$B$4*C83/$B$9))</f>
        <v/>
      </c>
      <c r="M83" s="24" t="n">
        <f aca="false">IF(A83="",$B$7+1,B83)</f>
        <v>46361</v>
      </c>
      <c r="N83" s="25" t="n">
        <f aca="false">IF(A83="",0,-G83)</f>
        <v>0</v>
      </c>
      <c r="O83" s="25" t="n">
        <f aca="false">IF(A83="",0,-G83)</f>
        <v>0</v>
      </c>
    </row>
    <row r="84" customFormat="false" ht="15" hidden="false" customHeight="false" outlineLevel="0" collapsed="false">
      <c r="A84" s="16" t="str">
        <f aca="false">IF(ROW()-17&lt;=$B$5,ROW()-17,"")</f>
        <v/>
      </c>
      <c r="B84" s="17" t="str">
        <f aca="false">IF(A84="","",EDATE($B$8,A84-1))</f>
        <v/>
      </c>
      <c r="C84" s="16" t="str">
        <f aca="false">IF(A84="","",B84-B83)</f>
        <v/>
      </c>
      <c r="D84" s="19" t="str">
        <f aca="false">IF(A84="","",H83)</f>
        <v/>
      </c>
      <c r="E84" s="19" t="str">
        <f aca="false">IF(A84="","",ROUND(D84*$B$4*C84/$B$9,0))</f>
        <v/>
      </c>
      <c r="F84" s="19" t="str">
        <f aca="false">IF(A84="","",G84-E84)</f>
        <v/>
      </c>
      <c r="G84" s="19" t="str">
        <f aca="false">IF(A84="","",IF(A84=$B$5,D84+E84,$E$3))</f>
        <v/>
      </c>
      <c r="H84" s="19" t="str">
        <f aca="false">IF(A84="","",D84+E84-G84)</f>
        <v/>
      </c>
      <c r="I84" s="20" t="str">
        <f aca="false">IF(A84="","",(B84-$B$7)/365)</f>
        <v/>
      </c>
      <c r="J84" s="21" t="str">
        <f aca="false">IF(A84="","",(1+$E$11)^(-I84))</f>
        <v/>
      </c>
      <c r="K84" s="22" t="str">
        <f aca="false">IF(A84="","",G84*J84)</f>
        <v/>
      </c>
      <c r="L84" s="23" t="str">
        <f aca="false">IF(A84="","",L83/(1+$B$4*C84/$B$9))</f>
        <v/>
      </c>
      <c r="M84" s="24" t="n">
        <f aca="false">IF(A84="",$B$7+1,B84)</f>
        <v>46361</v>
      </c>
      <c r="N84" s="25" t="n">
        <f aca="false">IF(A84="",0,-G84)</f>
        <v>0</v>
      </c>
      <c r="O84" s="25" t="n">
        <f aca="false">IF(A84="",0,-G84)</f>
        <v>0</v>
      </c>
    </row>
    <row r="85" customFormat="false" ht="15" hidden="false" customHeight="false" outlineLevel="0" collapsed="false">
      <c r="A85" s="16" t="str">
        <f aca="false">IF(ROW()-17&lt;=$B$5,ROW()-17,"")</f>
        <v/>
      </c>
      <c r="B85" s="17" t="str">
        <f aca="false">IF(A85="","",EDATE($B$8,A85-1))</f>
        <v/>
      </c>
      <c r="C85" s="16" t="str">
        <f aca="false">IF(A85="","",B85-B84)</f>
        <v/>
      </c>
      <c r="D85" s="19" t="str">
        <f aca="false">IF(A85="","",H84)</f>
        <v/>
      </c>
      <c r="E85" s="19" t="str">
        <f aca="false">IF(A85="","",ROUND(D85*$B$4*C85/$B$9,0))</f>
        <v/>
      </c>
      <c r="F85" s="19" t="str">
        <f aca="false">IF(A85="","",G85-E85)</f>
        <v/>
      </c>
      <c r="G85" s="19" t="str">
        <f aca="false">IF(A85="","",IF(A85=$B$5,D85+E85,$E$3))</f>
        <v/>
      </c>
      <c r="H85" s="19" t="str">
        <f aca="false">IF(A85="","",D85+E85-G85)</f>
        <v/>
      </c>
      <c r="I85" s="20" t="str">
        <f aca="false">IF(A85="","",(B85-$B$7)/365)</f>
        <v/>
      </c>
      <c r="J85" s="21" t="str">
        <f aca="false">IF(A85="","",(1+$E$11)^(-I85))</f>
        <v/>
      </c>
      <c r="K85" s="22" t="str">
        <f aca="false">IF(A85="","",G85*J85)</f>
        <v/>
      </c>
      <c r="L85" s="23" t="str">
        <f aca="false">IF(A85="","",L84/(1+$B$4*C85/$B$9))</f>
        <v/>
      </c>
      <c r="M85" s="24" t="n">
        <f aca="false">IF(A85="",$B$7+1,B85)</f>
        <v>46361</v>
      </c>
      <c r="N85" s="25" t="n">
        <f aca="false">IF(A85="",0,-G85)</f>
        <v>0</v>
      </c>
      <c r="O85" s="25" t="n">
        <f aca="false">IF(A85="",0,-G85)</f>
        <v>0</v>
      </c>
    </row>
    <row r="86" customFormat="false" ht="15" hidden="false" customHeight="false" outlineLevel="0" collapsed="false">
      <c r="A86" s="16" t="str">
        <f aca="false">IF(ROW()-17&lt;=$B$5,ROW()-17,"")</f>
        <v/>
      </c>
      <c r="B86" s="17" t="str">
        <f aca="false">IF(A86="","",EDATE($B$8,A86-1))</f>
        <v/>
      </c>
      <c r="C86" s="16" t="str">
        <f aca="false">IF(A86="","",B86-B85)</f>
        <v/>
      </c>
      <c r="D86" s="19" t="str">
        <f aca="false">IF(A86="","",H85)</f>
        <v/>
      </c>
      <c r="E86" s="19" t="str">
        <f aca="false">IF(A86="","",ROUND(D86*$B$4*C86/$B$9,0))</f>
        <v/>
      </c>
      <c r="F86" s="19" t="str">
        <f aca="false">IF(A86="","",G86-E86)</f>
        <v/>
      </c>
      <c r="G86" s="19" t="str">
        <f aca="false">IF(A86="","",IF(A86=$B$5,D86+E86,$E$3))</f>
        <v/>
      </c>
      <c r="H86" s="19" t="str">
        <f aca="false">IF(A86="","",D86+E86-G86)</f>
        <v/>
      </c>
      <c r="I86" s="20" t="str">
        <f aca="false">IF(A86="","",(B86-$B$7)/365)</f>
        <v/>
      </c>
      <c r="J86" s="21" t="str">
        <f aca="false">IF(A86="","",(1+$E$11)^(-I86))</f>
        <v/>
      </c>
      <c r="K86" s="22" t="str">
        <f aca="false">IF(A86="","",G86*J86)</f>
        <v/>
      </c>
      <c r="L86" s="23" t="str">
        <f aca="false">IF(A86="","",L85/(1+$B$4*C86/$B$9))</f>
        <v/>
      </c>
      <c r="M86" s="24" t="n">
        <f aca="false">IF(A86="",$B$7+1,B86)</f>
        <v>46361</v>
      </c>
      <c r="N86" s="25" t="n">
        <f aca="false">IF(A86="",0,-G86)</f>
        <v>0</v>
      </c>
      <c r="O86" s="25" t="n">
        <f aca="false">IF(A86="",0,-G86)</f>
        <v>0</v>
      </c>
    </row>
    <row r="87" customFormat="false" ht="15" hidden="false" customHeight="false" outlineLevel="0" collapsed="false">
      <c r="A87" s="16" t="str">
        <f aca="false">IF(ROW()-17&lt;=$B$5,ROW()-17,"")</f>
        <v/>
      </c>
      <c r="B87" s="17" t="str">
        <f aca="false">IF(A87="","",EDATE($B$8,A87-1))</f>
        <v/>
      </c>
      <c r="C87" s="16" t="str">
        <f aca="false">IF(A87="","",B87-B86)</f>
        <v/>
      </c>
      <c r="D87" s="19" t="str">
        <f aca="false">IF(A87="","",H86)</f>
        <v/>
      </c>
      <c r="E87" s="19" t="str">
        <f aca="false">IF(A87="","",ROUND(D87*$B$4*C87/$B$9,0))</f>
        <v/>
      </c>
      <c r="F87" s="19" t="str">
        <f aca="false">IF(A87="","",G87-E87)</f>
        <v/>
      </c>
      <c r="G87" s="19" t="str">
        <f aca="false">IF(A87="","",IF(A87=$B$5,D87+E87,$E$3))</f>
        <v/>
      </c>
      <c r="H87" s="19" t="str">
        <f aca="false">IF(A87="","",D87+E87-G87)</f>
        <v/>
      </c>
      <c r="I87" s="20" t="str">
        <f aca="false">IF(A87="","",(B87-$B$7)/365)</f>
        <v/>
      </c>
      <c r="J87" s="21" t="str">
        <f aca="false">IF(A87="","",(1+$E$11)^(-I87))</f>
        <v/>
      </c>
      <c r="K87" s="22" t="str">
        <f aca="false">IF(A87="","",G87*J87)</f>
        <v/>
      </c>
      <c r="L87" s="23" t="str">
        <f aca="false">IF(A87="","",L86/(1+$B$4*C87/$B$9))</f>
        <v/>
      </c>
      <c r="M87" s="24" t="n">
        <f aca="false">IF(A87="",$B$7+1,B87)</f>
        <v>46361</v>
      </c>
      <c r="N87" s="25" t="n">
        <f aca="false">IF(A87="",0,-G87)</f>
        <v>0</v>
      </c>
      <c r="O87" s="25" t="n">
        <f aca="false">IF(A87="",0,-G87)</f>
        <v>0</v>
      </c>
    </row>
    <row r="88" customFormat="false" ht="15" hidden="false" customHeight="false" outlineLevel="0" collapsed="false">
      <c r="A88" s="16" t="str">
        <f aca="false">IF(ROW()-17&lt;=$B$5,ROW()-17,"")</f>
        <v/>
      </c>
      <c r="B88" s="17" t="str">
        <f aca="false">IF(A88="","",EDATE($B$8,A88-1))</f>
        <v/>
      </c>
      <c r="C88" s="16" t="str">
        <f aca="false">IF(A88="","",B88-B87)</f>
        <v/>
      </c>
      <c r="D88" s="19" t="str">
        <f aca="false">IF(A88="","",H87)</f>
        <v/>
      </c>
      <c r="E88" s="19" t="str">
        <f aca="false">IF(A88="","",ROUND(D88*$B$4*C88/$B$9,0))</f>
        <v/>
      </c>
      <c r="F88" s="19" t="str">
        <f aca="false">IF(A88="","",G88-E88)</f>
        <v/>
      </c>
      <c r="G88" s="19" t="str">
        <f aca="false">IF(A88="","",IF(A88=$B$5,D88+E88,$E$3))</f>
        <v/>
      </c>
      <c r="H88" s="19" t="str">
        <f aca="false">IF(A88="","",D88+E88-G88)</f>
        <v/>
      </c>
      <c r="I88" s="20" t="str">
        <f aca="false">IF(A88="","",(B88-$B$7)/365)</f>
        <v/>
      </c>
      <c r="J88" s="21" t="str">
        <f aca="false">IF(A88="","",(1+$E$11)^(-I88))</f>
        <v/>
      </c>
      <c r="K88" s="22" t="str">
        <f aca="false">IF(A88="","",G88*J88)</f>
        <v/>
      </c>
      <c r="L88" s="23" t="str">
        <f aca="false">IF(A88="","",L87/(1+$B$4*C88/$B$9))</f>
        <v/>
      </c>
      <c r="M88" s="24" t="n">
        <f aca="false">IF(A88="",$B$7+1,B88)</f>
        <v>46361</v>
      </c>
      <c r="N88" s="25" t="n">
        <f aca="false">IF(A88="",0,-G88)</f>
        <v>0</v>
      </c>
      <c r="O88" s="25" t="n">
        <f aca="false">IF(A88="",0,-G88)</f>
        <v>0</v>
      </c>
    </row>
    <row r="89" customFormat="false" ht="15" hidden="false" customHeight="false" outlineLevel="0" collapsed="false">
      <c r="A89" s="16" t="str">
        <f aca="false">IF(ROW()-17&lt;=$B$5,ROW()-17,"")</f>
        <v/>
      </c>
      <c r="B89" s="17" t="str">
        <f aca="false">IF(A89="","",EDATE($B$8,A89-1))</f>
        <v/>
      </c>
      <c r="C89" s="16" t="str">
        <f aca="false">IF(A89="","",B89-B88)</f>
        <v/>
      </c>
      <c r="D89" s="19" t="str">
        <f aca="false">IF(A89="","",H88)</f>
        <v/>
      </c>
      <c r="E89" s="19" t="str">
        <f aca="false">IF(A89="","",ROUND(D89*$B$4*C89/$B$9,0))</f>
        <v/>
      </c>
      <c r="F89" s="19" t="str">
        <f aca="false">IF(A89="","",G89-E89)</f>
        <v/>
      </c>
      <c r="G89" s="19" t="str">
        <f aca="false">IF(A89="","",IF(A89=$B$5,D89+E89,$E$3))</f>
        <v/>
      </c>
      <c r="H89" s="19" t="str">
        <f aca="false">IF(A89="","",D89+E89-G89)</f>
        <v/>
      </c>
      <c r="I89" s="20" t="str">
        <f aca="false">IF(A89="","",(B89-$B$7)/365)</f>
        <v/>
      </c>
      <c r="J89" s="21" t="str">
        <f aca="false">IF(A89="","",(1+$E$11)^(-I89))</f>
        <v/>
      </c>
      <c r="K89" s="22" t="str">
        <f aca="false">IF(A89="","",G89*J89)</f>
        <v/>
      </c>
      <c r="L89" s="23" t="str">
        <f aca="false">IF(A89="","",L88/(1+$B$4*C89/$B$9))</f>
        <v/>
      </c>
      <c r="M89" s="24" t="n">
        <f aca="false">IF(A89="",$B$7+1,B89)</f>
        <v>46361</v>
      </c>
      <c r="N89" s="25" t="n">
        <f aca="false">IF(A89="",0,-G89)</f>
        <v>0</v>
      </c>
      <c r="O89" s="25" t="n">
        <f aca="false">IF(A89="",0,-G89)</f>
        <v>0</v>
      </c>
    </row>
    <row r="90" customFormat="false" ht="15" hidden="false" customHeight="false" outlineLevel="0" collapsed="false">
      <c r="A90" s="16" t="str">
        <f aca="false">IF(ROW()-17&lt;=$B$5,ROW()-17,"")</f>
        <v/>
      </c>
      <c r="B90" s="17" t="str">
        <f aca="false">IF(A90="","",EDATE($B$8,A90-1))</f>
        <v/>
      </c>
      <c r="C90" s="16" t="str">
        <f aca="false">IF(A90="","",B90-B89)</f>
        <v/>
      </c>
      <c r="D90" s="19" t="str">
        <f aca="false">IF(A90="","",H89)</f>
        <v/>
      </c>
      <c r="E90" s="19" t="str">
        <f aca="false">IF(A90="","",ROUND(D90*$B$4*C90/$B$9,0))</f>
        <v/>
      </c>
      <c r="F90" s="19" t="str">
        <f aca="false">IF(A90="","",G90-E90)</f>
        <v/>
      </c>
      <c r="G90" s="19" t="str">
        <f aca="false">IF(A90="","",IF(A90=$B$5,D90+E90,$E$3))</f>
        <v/>
      </c>
      <c r="H90" s="19" t="str">
        <f aca="false">IF(A90="","",D90+E90-G90)</f>
        <v/>
      </c>
      <c r="I90" s="20" t="str">
        <f aca="false">IF(A90="","",(B90-$B$7)/365)</f>
        <v/>
      </c>
      <c r="J90" s="21" t="str">
        <f aca="false">IF(A90="","",(1+$E$11)^(-I90))</f>
        <v/>
      </c>
      <c r="K90" s="22" t="str">
        <f aca="false">IF(A90="","",G90*J90)</f>
        <v/>
      </c>
      <c r="L90" s="23" t="str">
        <f aca="false">IF(A90="","",L89/(1+$B$4*C90/$B$9))</f>
        <v/>
      </c>
      <c r="M90" s="24" t="n">
        <f aca="false">IF(A90="",$B$7+1,B90)</f>
        <v>46361</v>
      </c>
      <c r="N90" s="25" t="n">
        <f aca="false">IF(A90="",0,-G90)</f>
        <v>0</v>
      </c>
      <c r="O90" s="25" t="n">
        <f aca="false">IF(A90="",0,-G90)</f>
        <v>0</v>
      </c>
    </row>
    <row r="91" customFormat="false" ht="15" hidden="false" customHeight="false" outlineLevel="0" collapsed="false">
      <c r="A91" s="16" t="str">
        <f aca="false">IF(ROW()-17&lt;=$B$5,ROW()-17,"")</f>
        <v/>
      </c>
      <c r="B91" s="17" t="str">
        <f aca="false">IF(A91="","",EDATE($B$8,A91-1))</f>
        <v/>
      </c>
      <c r="C91" s="16" t="str">
        <f aca="false">IF(A91="","",B91-B90)</f>
        <v/>
      </c>
      <c r="D91" s="19" t="str">
        <f aca="false">IF(A91="","",H90)</f>
        <v/>
      </c>
      <c r="E91" s="19" t="str">
        <f aca="false">IF(A91="","",ROUND(D91*$B$4*C91/$B$9,0))</f>
        <v/>
      </c>
      <c r="F91" s="19" t="str">
        <f aca="false">IF(A91="","",G91-E91)</f>
        <v/>
      </c>
      <c r="G91" s="19" t="str">
        <f aca="false">IF(A91="","",IF(A91=$B$5,D91+E91,$E$3))</f>
        <v/>
      </c>
      <c r="H91" s="19" t="str">
        <f aca="false">IF(A91="","",D91+E91-G91)</f>
        <v/>
      </c>
      <c r="I91" s="20" t="str">
        <f aca="false">IF(A91="","",(B91-$B$7)/365)</f>
        <v/>
      </c>
      <c r="J91" s="21" t="str">
        <f aca="false">IF(A91="","",(1+$E$11)^(-I91))</f>
        <v/>
      </c>
      <c r="K91" s="22" t="str">
        <f aca="false">IF(A91="","",G91*J91)</f>
        <v/>
      </c>
      <c r="L91" s="23" t="str">
        <f aca="false">IF(A91="","",L90/(1+$B$4*C91/$B$9))</f>
        <v/>
      </c>
      <c r="M91" s="24" t="n">
        <f aca="false">IF(A91="",$B$7+1,B91)</f>
        <v>46361</v>
      </c>
      <c r="N91" s="25" t="n">
        <f aca="false">IF(A91="",0,-G91)</f>
        <v>0</v>
      </c>
      <c r="O91" s="25" t="n">
        <f aca="false">IF(A91="",0,-G91)</f>
        <v>0</v>
      </c>
    </row>
    <row r="92" customFormat="false" ht="15" hidden="false" customHeight="false" outlineLevel="0" collapsed="false">
      <c r="A92" s="16" t="str">
        <f aca="false">IF(ROW()-17&lt;=$B$5,ROW()-17,"")</f>
        <v/>
      </c>
      <c r="B92" s="17" t="str">
        <f aca="false">IF(A92="","",EDATE($B$8,A92-1))</f>
        <v/>
      </c>
      <c r="C92" s="16" t="str">
        <f aca="false">IF(A92="","",B92-B91)</f>
        <v/>
      </c>
      <c r="D92" s="19" t="str">
        <f aca="false">IF(A92="","",H91)</f>
        <v/>
      </c>
      <c r="E92" s="19" t="str">
        <f aca="false">IF(A92="","",ROUND(D92*$B$4*C92/$B$9,0))</f>
        <v/>
      </c>
      <c r="F92" s="19" t="str">
        <f aca="false">IF(A92="","",G92-E92)</f>
        <v/>
      </c>
      <c r="G92" s="19" t="str">
        <f aca="false">IF(A92="","",IF(A92=$B$5,D92+E92,$E$3))</f>
        <v/>
      </c>
      <c r="H92" s="19" t="str">
        <f aca="false">IF(A92="","",D92+E92-G92)</f>
        <v/>
      </c>
      <c r="I92" s="20" t="str">
        <f aca="false">IF(A92="","",(B92-$B$7)/365)</f>
        <v/>
      </c>
      <c r="J92" s="21" t="str">
        <f aca="false">IF(A92="","",(1+$E$11)^(-I92))</f>
        <v/>
      </c>
      <c r="K92" s="22" t="str">
        <f aca="false">IF(A92="","",G92*J92)</f>
        <v/>
      </c>
      <c r="L92" s="23" t="str">
        <f aca="false">IF(A92="","",L91/(1+$B$4*C92/$B$9))</f>
        <v/>
      </c>
      <c r="M92" s="24" t="n">
        <f aca="false">IF(A92="",$B$7+1,B92)</f>
        <v>46361</v>
      </c>
      <c r="N92" s="25" t="n">
        <f aca="false">IF(A92="",0,-G92)</f>
        <v>0</v>
      </c>
      <c r="O92" s="25" t="n">
        <f aca="false">IF(A92="",0,-G92)</f>
        <v>0</v>
      </c>
    </row>
    <row r="93" customFormat="false" ht="15" hidden="false" customHeight="false" outlineLevel="0" collapsed="false">
      <c r="A93" s="16" t="str">
        <f aca="false">IF(ROW()-17&lt;=$B$5,ROW()-17,"")</f>
        <v/>
      </c>
      <c r="B93" s="17" t="str">
        <f aca="false">IF(A93="","",EDATE($B$8,A93-1))</f>
        <v/>
      </c>
      <c r="C93" s="16" t="str">
        <f aca="false">IF(A93="","",B93-B92)</f>
        <v/>
      </c>
      <c r="D93" s="19" t="str">
        <f aca="false">IF(A93="","",H92)</f>
        <v/>
      </c>
      <c r="E93" s="19" t="str">
        <f aca="false">IF(A93="","",ROUND(D93*$B$4*C93/$B$9,0))</f>
        <v/>
      </c>
      <c r="F93" s="19" t="str">
        <f aca="false">IF(A93="","",G93-E93)</f>
        <v/>
      </c>
      <c r="G93" s="19" t="str">
        <f aca="false">IF(A93="","",IF(A93=$B$5,D93+E93,$E$3))</f>
        <v/>
      </c>
      <c r="H93" s="19" t="str">
        <f aca="false">IF(A93="","",D93+E93-G93)</f>
        <v/>
      </c>
      <c r="I93" s="20" t="str">
        <f aca="false">IF(A93="","",(B93-$B$7)/365)</f>
        <v/>
      </c>
      <c r="J93" s="21" t="str">
        <f aca="false">IF(A93="","",(1+$E$11)^(-I93))</f>
        <v/>
      </c>
      <c r="K93" s="22" t="str">
        <f aca="false">IF(A93="","",G93*J93)</f>
        <v/>
      </c>
      <c r="L93" s="23" t="str">
        <f aca="false">IF(A93="","",L92/(1+$B$4*C93/$B$9))</f>
        <v/>
      </c>
      <c r="M93" s="24" t="n">
        <f aca="false">IF(A93="",$B$7+1,B93)</f>
        <v>46361</v>
      </c>
      <c r="N93" s="25" t="n">
        <f aca="false">IF(A93="",0,-G93)</f>
        <v>0</v>
      </c>
      <c r="O93" s="25" t="n">
        <f aca="false">IF(A93="",0,-G93)</f>
        <v>0</v>
      </c>
    </row>
    <row r="94" customFormat="false" ht="15" hidden="false" customHeight="false" outlineLevel="0" collapsed="false">
      <c r="A94" s="16" t="str">
        <f aca="false">IF(ROW()-17&lt;=$B$5,ROW()-17,"")</f>
        <v/>
      </c>
      <c r="B94" s="17" t="str">
        <f aca="false">IF(A94="","",EDATE($B$8,A94-1))</f>
        <v/>
      </c>
      <c r="C94" s="16" t="str">
        <f aca="false">IF(A94="","",B94-B93)</f>
        <v/>
      </c>
      <c r="D94" s="19" t="str">
        <f aca="false">IF(A94="","",H93)</f>
        <v/>
      </c>
      <c r="E94" s="19" t="str">
        <f aca="false">IF(A94="","",ROUND(D94*$B$4*C94/$B$9,0))</f>
        <v/>
      </c>
      <c r="F94" s="19" t="str">
        <f aca="false">IF(A94="","",G94-E94)</f>
        <v/>
      </c>
      <c r="G94" s="19" t="str">
        <f aca="false">IF(A94="","",IF(A94=$B$5,D94+E94,$E$3))</f>
        <v/>
      </c>
      <c r="H94" s="19" t="str">
        <f aca="false">IF(A94="","",D94+E94-G94)</f>
        <v/>
      </c>
      <c r="I94" s="20" t="str">
        <f aca="false">IF(A94="","",(B94-$B$7)/365)</f>
        <v/>
      </c>
      <c r="J94" s="21" t="str">
        <f aca="false">IF(A94="","",(1+$E$11)^(-I94))</f>
        <v/>
      </c>
      <c r="K94" s="22" t="str">
        <f aca="false">IF(A94="","",G94*J94)</f>
        <v/>
      </c>
      <c r="L94" s="23" t="str">
        <f aca="false">IF(A94="","",L93/(1+$B$4*C94/$B$9))</f>
        <v/>
      </c>
      <c r="M94" s="24" t="n">
        <f aca="false">IF(A94="",$B$7+1,B94)</f>
        <v>46361</v>
      </c>
      <c r="N94" s="25" t="n">
        <f aca="false">IF(A94="",0,-G94)</f>
        <v>0</v>
      </c>
      <c r="O94" s="25" t="n">
        <f aca="false">IF(A94="",0,-G94)</f>
        <v>0</v>
      </c>
    </row>
    <row r="95" customFormat="false" ht="15" hidden="false" customHeight="false" outlineLevel="0" collapsed="false">
      <c r="A95" s="16" t="str">
        <f aca="false">IF(ROW()-17&lt;=$B$5,ROW()-17,"")</f>
        <v/>
      </c>
      <c r="B95" s="17" t="str">
        <f aca="false">IF(A95="","",EDATE($B$8,A95-1))</f>
        <v/>
      </c>
      <c r="C95" s="16" t="str">
        <f aca="false">IF(A95="","",B95-B94)</f>
        <v/>
      </c>
      <c r="D95" s="19" t="str">
        <f aca="false">IF(A95="","",H94)</f>
        <v/>
      </c>
      <c r="E95" s="19" t="str">
        <f aca="false">IF(A95="","",ROUND(D95*$B$4*C95/$B$9,0))</f>
        <v/>
      </c>
      <c r="F95" s="19" t="str">
        <f aca="false">IF(A95="","",G95-E95)</f>
        <v/>
      </c>
      <c r="G95" s="19" t="str">
        <f aca="false">IF(A95="","",IF(A95=$B$5,D95+E95,$E$3))</f>
        <v/>
      </c>
      <c r="H95" s="19" t="str">
        <f aca="false">IF(A95="","",D95+E95-G95)</f>
        <v/>
      </c>
      <c r="I95" s="20" t="str">
        <f aca="false">IF(A95="","",(B95-$B$7)/365)</f>
        <v/>
      </c>
      <c r="J95" s="21" t="str">
        <f aca="false">IF(A95="","",(1+$E$11)^(-I95))</f>
        <v/>
      </c>
      <c r="K95" s="22" t="str">
        <f aca="false">IF(A95="","",G95*J95)</f>
        <v/>
      </c>
      <c r="L95" s="23" t="str">
        <f aca="false">IF(A95="","",L94/(1+$B$4*C95/$B$9))</f>
        <v/>
      </c>
      <c r="M95" s="24" t="n">
        <f aca="false">IF(A95="",$B$7+1,B95)</f>
        <v>46361</v>
      </c>
      <c r="N95" s="25" t="n">
        <f aca="false">IF(A95="",0,-G95)</f>
        <v>0</v>
      </c>
      <c r="O95" s="25" t="n">
        <f aca="false">IF(A95="",0,-G95)</f>
        <v>0</v>
      </c>
    </row>
    <row r="96" customFormat="false" ht="15" hidden="false" customHeight="false" outlineLevel="0" collapsed="false">
      <c r="A96" s="16" t="str">
        <f aca="false">IF(ROW()-17&lt;=$B$5,ROW()-17,"")</f>
        <v/>
      </c>
      <c r="B96" s="17" t="str">
        <f aca="false">IF(A96="","",EDATE($B$8,A96-1))</f>
        <v/>
      </c>
      <c r="C96" s="16" t="str">
        <f aca="false">IF(A96="","",B96-B95)</f>
        <v/>
      </c>
      <c r="D96" s="19" t="str">
        <f aca="false">IF(A96="","",H95)</f>
        <v/>
      </c>
      <c r="E96" s="19" t="str">
        <f aca="false">IF(A96="","",ROUND(D96*$B$4*C96/$B$9,0))</f>
        <v/>
      </c>
      <c r="F96" s="19" t="str">
        <f aca="false">IF(A96="","",G96-E96)</f>
        <v/>
      </c>
      <c r="G96" s="19" t="str">
        <f aca="false">IF(A96="","",IF(A96=$B$5,D96+E96,$E$3))</f>
        <v/>
      </c>
      <c r="H96" s="19" t="str">
        <f aca="false">IF(A96="","",D96+E96-G96)</f>
        <v/>
      </c>
      <c r="I96" s="20" t="str">
        <f aca="false">IF(A96="","",(B96-$B$7)/365)</f>
        <v/>
      </c>
      <c r="J96" s="21" t="str">
        <f aca="false">IF(A96="","",(1+$E$11)^(-I96))</f>
        <v/>
      </c>
      <c r="K96" s="22" t="str">
        <f aca="false">IF(A96="","",G96*J96)</f>
        <v/>
      </c>
      <c r="L96" s="23" t="str">
        <f aca="false">IF(A96="","",L95/(1+$B$4*C96/$B$9))</f>
        <v/>
      </c>
      <c r="M96" s="24" t="n">
        <f aca="false">IF(A96="",$B$7+1,B96)</f>
        <v>46361</v>
      </c>
      <c r="N96" s="25" t="n">
        <f aca="false">IF(A96="",0,-G96)</f>
        <v>0</v>
      </c>
      <c r="O96" s="25" t="n">
        <f aca="false">IF(A96="",0,-G96)</f>
        <v>0</v>
      </c>
    </row>
    <row r="97" customFormat="false" ht="15" hidden="false" customHeight="false" outlineLevel="0" collapsed="false">
      <c r="A97" s="16" t="str">
        <f aca="false">IF(ROW()-17&lt;=$B$5,ROW()-17,"")</f>
        <v/>
      </c>
      <c r="B97" s="17" t="str">
        <f aca="false">IF(A97="","",EDATE($B$8,A97-1))</f>
        <v/>
      </c>
      <c r="C97" s="16" t="str">
        <f aca="false">IF(A97="","",B97-B96)</f>
        <v/>
      </c>
      <c r="D97" s="19" t="str">
        <f aca="false">IF(A97="","",H96)</f>
        <v/>
      </c>
      <c r="E97" s="19" t="str">
        <f aca="false">IF(A97="","",ROUND(D97*$B$4*C97/$B$9,0))</f>
        <v/>
      </c>
      <c r="F97" s="19" t="str">
        <f aca="false">IF(A97="","",G97-E97)</f>
        <v/>
      </c>
      <c r="G97" s="19" t="str">
        <f aca="false">IF(A97="","",IF(A97=$B$5,D97+E97,$E$3))</f>
        <v/>
      </c>
      <c r="H97" s="19" t="str">
        <f aca="false">IF(A97="","",D97+E97-G97)</f>
        <v/>
      </c>
      <c r="I97" s="20" t="str">
        <f aca="false">IF(A97="","",(B97-$B$7)/365)</f>
        <v/>
      </c>
      <c r="J97" s="21" t="str">
        <f aca="false">IF(A97="","",(1+$E$11)^(-I97))</f>
        <v/>
      </c>
      <c r="K97" s="22" t="str">
        <f aca="false">IF(A97="","",G97*J97)</f>
        <v/>
      </c>
      <c r="L97" s="23" t="str">
        <f aca="false">IF(A97="","",L96/(1+$B$4*C97/$B$9))</f>
        <v/>
      </c>
      <c r="M97" s="24" t="n">
        <f aca="false">IF(A97="",$B$7+1,B97)</f>
        <v>46361</v>
      </c>
      <c r="N97" s="25" t="n">
        <f aca="false">IF(A97="",0,-G97)</f>
        <v>0</v>
      </c>
      <c r="O97" s="25" t="n">
        <f aca="false">IF(A97="",0,-G97)</f>
        <v>0</v>
      </c>
    </row>
    <row r="98" customFormat="false" ht="15" hidden="false" customHeight="false" outlineLevel="0" collapsed="false">
      <c r="A98" s="16" t="str">
        <f aca="false">IF(ROW()-17&lt;=$B$5,ROW()-17,"")</f>
        <v/>
      </c>
      <c r="B98" s="17" t="str">
        <f aca="false">IF(A98="","",EDATE($B$8,A98-1))</f>
        <v/>
      </c>
      <c r="C98" s="16" t="str">
        <f aca="false">IF(A98="","",B98-B97)</f>
        <v/>
      </c>
      <c r="D98" s="19" t="str">
        <f aca="false">IF(A98="","",H97)</f>
        <v/>
      </c>
      <c r="E98" s="19" t="str">
        <f aca="false">IF(A98="","",ROUND(D98*$B$4*C98/$B$9,0))</f>
        <v/>
      </c>
      <c r="F98" s="19" t="str">
        <f aca="false">IF(A98="","",G98-E98)</f>
        <v/>
      </c>
      <c r="G98" s="19" t="str">
        <f aca="false">IF(A98="","",IF(A98=$B$5,D98+E98,$E$3))</f>
        <v/>
      </c>
      <c r="H98" s="19" t="str">
        <f aca="false">IF(A98="","",D98+E98-G98)</f>
        <v/>
      </c>
      <c r="I98" s="20" t="str">
        <f aca="false">IF(A98="","",(B98-$B$7)/365)</f>
        <v/>
      </c>
      <c r="J98" s="21" t="str">
        <f aca="false">IF(A98="","",(1+$E$11)^(-I98))</f>
        <v/>
      </c>
      <c r="K98" s="22" t="str">
        <f aca="false">IF(A98="","",G98*J98)</f>
        <v/>
      </c>
      <c r="L98" s="23" t="str">
        <f aca="false">IF(A98="","",L97/(1+$B$4*C98/$B$9))</f>
        <v/>
      </c>
      <c r="M98" s="24" t="n">
        <f aca="false">IF(A98="",$B$7+1,B98)</f>
        <v>46361</v>
      </c>
      <c r="N98" s="25" t="n">
        <f aca="false">IF(A98="",0,-G98)</f>
        <v>0</v>
      </c>
      <c r="O98" s="25" t="n">
        <f aca="false">IF(A98="",0,-G98)</f>
        <v>0</v>
      </c>
    </row>
    <row r="99" customFormat="false" ht="15" hidden="false" customHeight="false" outlineLevel="0" collapsed="false">
      <c r="A99" s="16" t="str">
        <f aca="false">IF(ROW()-17&lt;=$B$5,ROW()-17,"")</f>
        <v/>
      </c>
      <c r="B99" s="17" t="str">
        <f aca="false">IF(A99="","",EDATE($B$8,A99-1))</f>
        <v/>
      </c>
      <c r="C99" s="16" t="str">
        <f aca="false">IF(A99="","",B99-B98)</f>
        <v/>
      </c>
      <c r="D99" s="19" t="str">
        <f aca="false">IF(A99="","",H98)</f>
        <v/>
      </c>
      <c r="E99" s="19" t="str">
        <f aca="false">IF(A99="","",ROUND(D99*$B$4*C99/$B$9,0))</f>
        <v/>
      </c>
      <c r="F99" s="19" t="str">
        <f aca="false">IF(A99="","",G99-E99)</f>
        <v/>
      </c>
      <c r="G99" s="19" t="str">
        <f aca="false">IF(A99="","",IF(A99=$B$5,D99+E99,$E$3))</f>
        <v/>
      </c>
      <c r="H99" s="19" t="str">
        <f aca="false">IF(A99="","",D99+E99-G99)</f>
        <v/>
      </c>
      <c r="I99" s="20" t="str">
        <f aca="false">IF(A99="","",(B99-$B$7)/365)</f>
        <v/>
      </c>
      <c r="J99" s="21" t="str">
        <f aca="false">IF(A99="","",(1+$E$11)^(-I99))</f>
        <v/>
      </c>
      <c r="K99" s="22" t="str">
        <f aca="false">IF(A99="","",G99*J99)</f>
        <v/>
      </c>
      <c r="L99" s="23" t="str">
        <f aca="false">IF(A99="","",L98/(1+$B$4*C99/$B$9))</f>
        <v/>
      </c>
      <c r="M99" s="24" t="n">
        <f aca="false">IF(A99="",$B$7+1,B99)</f>
        <v>46361</v>
      </c>
      <c r="N99" s="25" t="n">
        <f aca="false">IF(A99="",0,-G99)</f>
        <v>0</v>
      </c>
      <c r="O99" s="25" t="n">
        <f aca="false">IF(A99="",0,-G99)</f>
        <v>0</v>
      </c>
    </row>
    <row r="100" customFormat="false" ht="15" hidden="false" customHeight="false" outlineLevel="0" collapsed="false">
      <c r="A100" s="16" t="str">
        <f aca="false">IF(ROW()-17&lt;=$B$5,ROW()-17,"")</f>
        <v/>
      </c>
      <c r="B100" s="17" t="str">
        <f aca="false">IF(A100="","",EDATE($B$8,A100-1))</f>
        <v/>
      </c>
      <c r="C100" s="16" t="str">
        <f aca="false">IF(A100="","",B100-B99)</f>
        <v/>
      </c>
      <c r="D100" s="19" t="str">
        <f aca="false">IF(A100="","",H99)</f>
        <v/>
      </c>
      <c r="E100" s="19" t="str">
        <f aca="false">IF(A100="","",ROUND(D100*$B$4*C100/$B$9,0))</f>
        <v/>
      </c>
      <c r="F100" s="19" t="str">
        <f aca="false">IF(A100="","",G100-E100)</f>
        <v/>
      </c>
      <c r="G100" s="19" t="str">
        <f aca="false">IF(A100="","",IF(A100=$B$5,D100+E100,$E$3))</f>
        <v/>
      </c>
      <c r="H100" s="19" t="str">
        <f aca="false">IF(A100="","",D100+E100-G100)</f>
        <v/>
      </c>
      <c r="I100" s="20" t="str">
        <f aca="false">IF(A100="","",(B100-$B$7)/365)</f>
        <v/>
      </c>
      <c r="J100" s="21" t="str">
        <f aca="false">IF(A100="","",(1+$E$11)^(-I100))</f>
        <v/>
      </c>
      <c r="K100" s="22" t="str">
        <f aca="false">IF(A100="","",G100*J100)</f>
        <v/>
      </c>
      <c r="L100" s="23" t="str">
        <f aca="false">IF(A100="","",L99/(1+$B$4*C100/$B$9))</f>
        <v/>
      </c>
      <c r="M100" s="24" t="n">
        <f aca="false">IF(A100="",$B$7+1,B100)</f>
        <v>46361</v>
      </c>
      <c r="N100" s="25" t="n">
        <f aca="false">IF(A100="",0,-G100)</f>
        <v>0</v>
      </c>
      <c r="O100" s="25" t="n">
        <f aca="false">IF(A100="",0,-G100)</f>
        <v>0</v>
      </c>
    </row>
    <row r="101" customFormat="false" ht="15" hidden="false" customHeight="false" outlineLevel="0" collapsed="false">
      <c r="A101" s="16" t="str">
        <f aca="false">IF(ROW()-17&lt;=$B$5,ROW()-17,"")</f>
        <v/>
      </c>
      <c r="B101" s="17" t="str">
        <f aca="false">IF(A101="","",EDATE($B$8,A101-1))</f>
        <v/>
      </c>
      <c r="C101" s="16" t="str">
        <f aca="false">IF(A101="","",B101-B100)</f>
        <v/>
      </c>
      <c r="D101" s="19" t="str">
        <f aca="false">IF(A101="","",H100)</f>
        <v/>
      </c>
      <c r="E101" s="19" t="str">
        <f aca="false">IF(A101="","",ROUND(D101*$B$4*C101/$B$9,0))</f>
        <v/>
      </c>
      <c r="F101" s="19" t="str">
        <f aca="false">IF(A101="","",G101-E101)</f>
        <v/>
      </c>
      <c r="G101" s="19" t="str">
        <f aca="false">IF(A101="","",IF(A101=$B$5,D101+E101,$E$3))</f>
        <v/>
      </c>
      <c r="H101" s="19" t="str">
        <f aca="false">IF(A101="","",D101+E101-G101)</f>
        <v/>
      </c>
      <c r="I101" s="20" t="str">
        <f aca="false">IF(A101="","",(B101-$B$7)/365)</f>
        <v/>
      </c>
      <c r="J101" s="21" t="str">
        <f aca="false">IF(A101="","",(1+$E$11)^(-I101))</f>
        <v/>
      </c>
      <c r="K101" s="22" t="str">
        <f aca="false">IF(A101="","",G101*J101)</f>
        <v/>
      </c>
      <c r="L101" s="23" t="str">
        <f aca="false">IF(A101="","",L100/(1+$B$4*C101/$B$9))</f>
        <v/>
      </c>
      <c r="M101" s="24" t="n">
        <f aca="false">IF(A101="",$B$7+1,B101)</f>
        <v>46361</v>
      </c>
      <c r="N101" s="25" t="n">
        <f aca="false">IF(A101="",0,-G101)</f>
        <v>0</v>
      </c>
      <c r="O101" s="25" t="n">
        <f aca="false">IF(A101="",0,-G101)</f>
        <v>0</v>
      </c>
    </row>
    <row r="102" customFormat="false" ht="15" hidden="false" customHeight="false" outlineLevel="0" collapsed="false">
      <c r="A102" s="16" t="str">
        <f aca="false">IF(ROW()-17&lt;=$B$5,ROW()-17,"")</f>
        <v/>
      </c>
      <c r="B102" s="17" t="str">
        <f aca="false">IF(A102="","",EDATE($B$8,A102-1))</f>
        <v/>
      </c>
      <c r="C102" s="16" t="str">
        <f aca="false">IF(A102="","",B102-B101)</f>
        <v/>
      </c>
      <c r="D102" s="19" t="str">
        <f aca="false">IF(A102="","",H101)</f>
        <v/>
      </c>
      <c r="E102" s="19" t="str">
        <f aca="false">IF(A102="","",ROUND(D102*$B$4*C102/$B$9,0))</f>
        <v/>
      </c>
      <c r="F102" s="19" t="str">
        <f aca="false">IF(A102="","",G102-E102)</f>
        <v/>
      </c>
      <c r="G102" s="19" t="str">
        <f aca="false">IF(A102="","",IF(A102=$B$5,D102+E102,$E$3))</f>
        <v/>
      </c>
      <c r="H102" s="19" t="str">
        <f aca="false">IF(A102="","",D102+E102-G102)</f>
        <v/>
      </c>
      <c r="I102" s="20" t="str">
        <f aca="false">IF(A102="","",(B102-$B$7)/365)</f>
        <v/>
      </c>
      <c r="J102" s="21" t="str">
        <f aca="false">IF(A102="","",(1+$E$11)^(-I102))</f>
        <v/>
      </c>
      <c r="K102" s="22" t="str">
        <f aca="false">IF(A102="","",G102*J102)</f>
        <v/>
      </c>
      <c r="L102" s="23" t="str">
        <f aca="false">IF(A102="","",L101/(1+$B$4*C102/$B$9))</f>
        <v/>
      </c>
      <c r="M102" s="24" t="n">
        <f aca="false">IF(A102="",$B$7+1,B102)</f>
        <v>46361</v>
      </c>
      <c r="N102" s="25" t="n">
        <f aca="false">IF(A102="",0,-G102)</f>
        <v>0</v>
      </c>
      <c r="O102" s="25" t="n">
        <f aca="false">IF(A102="",0,-G102)</f>
        <v>0</v>
      </c>
    </row>
    <row r="103" customFormat="false" ht="15" hidden="false" customHeight="false" outlineLevel="0" collapsed="false">
      <c r="A103" s="16" t="str">
        <f aca="false">IF(ROW()-17&lt;=$B$5,ROW()-17,"")</f>
        <v/>
      </c>
      <c r="B103" s="17" t="str">
        <f aca="false">IF(A103="","",EDATE($B$8,A103-1))</f>
        <v/>
      </c>
      <c r="C103" s="16" t="str">
        <f aca="false">IF(A103="","",B103-B102)</f>
        <v/>
      </c>
      <c r="D103" s="19" t="str">
        <f aca="false">IF(A103="","",H102)</f>
        <v/>
      </c>
      <c r="E103" s="19" t="str">
        <f aca="false">IF(A103="","",ROUND(D103*$B$4*C103/$B$9,0))</f>
        <v/>
      </c>
      <c r="F103" s="19" t="str">
        <f aca="false">IF(A103="","",G103-E103)</f>
        <v/>
      </c>
      <c r="G103" s="19" t="str">
        <f aca="false">IF(A103="","",IF(A103=$B$5,D103+E103,$E$3))</f>
        <v/>
      </c>
      <c r="H103" s="19" t="str">
        <f aca="false">IF(A103="","",D103+E103-G103)</f>
        <v/>
      </c>
      <c r="I103" s="20" t="str">
        <f aca="false">IF(A103="","",(B103-$B$7)/365)</f>
        <v/>
      </c>
      <c r="J103" s="21" t="str">
        <f aca="false">IF(A103="","",(1+$E$11)^(-I103))</f>
        <v/>
      </c>
      <c r="K103" s="22" t="str">
        <f aca="false">IF(A103="","",G103*J103)</f>
        <v/>
      </c>
      <c r="L103" s="23" t="str">
        <f aca="false">IF(A103="","",L102/(1+$B$4*C103/$B$9))</f>
        <v/>
      </c>
      <c r="M103" s="24" t="n">
        <f aca="false">IF(A103="",$B$7+1,B103)</f>
        <v>46361</v>
      </c>
      <c r="N103" s="25" t="n">
        <f aca="false">IF(A103="",0,-G103)</f>
        <v>0</v>
      </c>
      <c r="O103" s="25" t="n">
        <f aca="false">IF(A103="",0,-G103)</f>
        <v>0</v>
      </c>
    </row>
    <row r="104" customFormat="false" ht="15" hidden="false" customHeight="false" outlineLevel="0" collapsed="false">
      <c r="A104" s="16" t="str">
        <f aca="false">IF(ROW()-17&lt;=$B$5,ROW()-17,"")</f>
        <v/>
      </c>
      <c r="B104" s="17" t="str">
        <f aca="false">IF(A104="","",EDATE($B$8,A104-1))</f>
        <v/>
      </c>
      <c r="C104" s="16" t="str">
        <f aca="false">IF(A104="","",B104-B103)</f>
        <v/>
      </c>
      <c r="D104" s="19" t="str">
        <f aca="false">IF(A104="","",H103)</f>
        <v/>
      </c>
      <c r="E104" s="19" t="str">
        <f aca="false">IF(A104="","",ROUND(D104*$B$4*C104/$B$9,0))</f>
        <v/>
      </c>
      <c r="F104" s="19" t="str">
        <f aca="false">IF(A104="","",G104-E104)</f>
        <v/>
      </c>
      <c r="G104" s="19" t="str">
        <f aca="false">IF(A104="","",IF(A104=$B$5,D104+E104,$E$3))</f>
        <v/>
      </c>
      <c r="H104" s="19" t="str">
        <f aca="false">IF(A104="","",D104+E104-G104)</f>
        <v/>
      </c>
      <c r="I104" s="20" t="str">
        <f aca="false">IF(A104="","",(B104-$B$7)/365)</f>
        <v/>
      </c>
      <c r="J104" s="21" t="str">
        <f aca="false">IF(A104="","",(1+$E$11)^(-I104))</f>
        <v/>
      </c>
      <c r="K104" s="22" t="str">
        <f aca="false">IF(A104="","",G104*J104)</f>
        <v/>
      </c>
      <c r="L104" s="23" t="str">
        <f aca="false">IF(A104="","",L103/(1+$B$4*C104/$B$9))</f>
        <v/>
      </c>
      <c r="M104" s="24" t="n">
        <f aca="false">IF(A104="",$B$7+1,B104)</f>
        <v>46361</v>
      </c>
      <c r="N104" s="25" t="n">
        <f aca="false">IF(A104="",0,-G104)</f>
        <v>0</v>
      </c>
      <c r="O104" s="25" t="n">
        <f aca="false">IF(A104="",0,-G104)</f>
        <v>0</v>
      </c>
    </row>
    <row r="105" customFormat="false" ht="15" hidden="false" customHeight="false" outlineLevel="0" collapsed="false">
      <c r="A105" s="16" t="str">
        <f aca="false">IF(ROW()-17&lt;=$B$5,ROW()-17,"")</f>
        <v/>
      </c>
      <c r="B105" s="17" t="str">
        <f aca="false">IF(A105="","",EDATE($B$8,A105-1))</f>
        <v/>
      </c>
      <c r="C105" s="16" t="str">
        <f aca="false">IF(A105="","",B105-B104)</f>
        <v/>
      </c>
      <c r="D105" s="19" t="str">
        <f aca="false">IF(A105="","",H104)</f>
        <v/>
      </c>
      <c r="E105" s="19" t="str">
        <f aca="false">IF(A105="","",ROUND(D105*$B$4*C105/$B$9,0))</f>
        <v/>
      </c>
      <c r="F105" s="19" t="str">
        <f aca="false">IF(A105="","",G105-E105)</f>
        <v/>
      </c>
      <c r="G105" s="19" t="str">
        <f aca="false">IF(A105="","",IF(A105=$B$5,D105+E105,$E$3))</f>
        <v/>
      </c>
      <c r="H105" s="19" t="str">
        <f aca="false">IF(A105="","",D105+E105-G105)</f>
        <v/>
      </c>
      <c r="I105" s="20" t="str">
        <f aca="false">IF(A105="","",(B105-$B$7)/365)</f>
        <v/>
      </c>
      <c r="J105" s="21" t="str">
        <f aca="false">IF(A105="","",(1+$E$11)^(-I105))</f>
        <v/>
      </c>
      <c r="K105" s="22" t="str">
        <f aca="false">IF(A105="","",G105*J105)</f>
        <v/>
      </c>
      <c r="L105" s="23" t="str">
        <f aca="false">IF(A105="","",L104/(1+$B$4*C105/$B$9))</f>
        <v/>
      </c>
      <c r="M105" s="24" t="n">
        <f aca="false">IF(A105="",$B$7+1,B105)</f>
        <v>46361</v>
      </c>
      <c r="N105" s="25" t="n">
        <f aca="false">IF(A105="",0,-G105)</f>
        <v>0</v>
      </c>
      <c r="O105" s="25" t="n">
        <f aca="false">IF(A105="",0,-G105)</f>
        <v>0</v>
      </c>
    </row>
    <row r="106" customFormat="false" ht="15" hidden="false" customHeight="false" outlineLevel="0" collapsed="false">
      <c r="A106" s="16" t="str">
        <f aca="false">IF(ROW()-17&lt;=$B$5,ROW()-17,"")</f>
        <v/>
      </c>
      <c r="B106" s="17" t="str">
        <f aca="false">IF(A106="","",EDATE($B$8,A106-1))</f>
        <v/>
      </c>
      <c r="C106" s="16" t="str">
        <f aca="false">IF(A106="","",B106-B105)</f>
        <v/>
      </c>
      <c r="D106" s="19" t="str">
        <f aca="false">IF(A106="","",H105)</f>
        <v/>
      </c>
      <c r="E106" s="19" t="str">
        <f aca="false">IF(A106="","",ROUND(D106*$B$4*C106/$B$9,0))</f>
        <v/>
      </c>
      <c r="F106" s="19" t="str">
        <f aca="false">IF(A106="","",G106-E106)</f>
        <v/>
      </c>
      <c r="G106" s="19" t="str">
        <f aca="false">IF(A106="","",IF(A106=$B$5,D106+E106,$E$3))</f>
        <v/>
      </c>
      <c r="H106" s="19" t="str">
        <f aca="false">IF(A106="","",D106+E106-G106)</f>
        <v/>
      </c>
      <c r="I106" s="20" t="str">
        <f aca="false">IF(A106="","",(B106-$B$7)/365)</f>
        <v/>
      </c>
      <c r="J106" s="21" t="str">
        <f aca="false">IF(A106="","",(1+$E$11)^(-I106))</f>
        <v/>
      </c>
      <c r="K106" s="22" t="str">
        <f aca="false">IF(A106="","",G106*J106)</f>
        <v/>
      </c>
      <c r="L106" s="23" t="str">
        <f aca="false">IF(A106="","",L105/(1+$B$4*C106/$B$9))</f>
        <v/>
      </c>
      <c r="M106" s="24" t="n">
        <f aca="false">IF(A106="",$B$7+1,B106)</f>
        <v>46361</v>
      </c>
      <c r="N106" s="25" t="n">
        <f aca="false">IF(A106="",0,-G106)</f>
        <v>0</v>
      </c>
      <c r="O106" s="25" t="n">
        <f aca="false">IF(A106="",0,-G106)</f>
        <v>0</v>
      </c>
    </row>
    <row r="107" customFormat="false" ht="15" hidden="false" customHeight="false" outlineLevel="0" collapsed="false">
      <c r="A107" s="16" t="str">
        <f aca="false">IF(ROW()-17&lt;=$B$5,ROW()-17,"")</f>
        <v/>
      </c>
      <c r="B107" s="17" t="str">
        <f aca="false">IF(A107="","",EDATE($B$8,A107-1))</f>
        <v/>
      </c>
      <c r="C107" s="16" t="str">
        <f aca="false">IF(A107="","",B107-B106)</f>
        <v/>
      </c>
      <c r="D107" s="19" t="str">
        <f aca="false">IF(A107="","",H106)</f>
        <v/>
      </c>
      <c r="E107" s="19" t="str">
        <f aca="false">IF(A107="","",ROUND(D107*$B$4*C107/$B$9,0))</f>
        <v/>
      </c>
      <c r="F107" s="19" t="str">
        <f aca="false">IF(A107="","",G107-E107)</f>
        <v/>
      </c>
      <c r="G107" s="19" t="str">
        <f aca="false">IF(A107="","",IF(A107=$B$5,D107+E107,$E$3))</f>
        <v/>
      </c>
      <c r="H107" s="19" t="str">
        <f aca="false">IF(A107="","",D107+E107-G107)</f>
        <v/>
      </c>
      <c r="I107" s="20" t="str">
        <f aca="false">IF(A107="","",(B107-$B$7)/365)</f>
        <v/>
      </c>
      <c r="J107" s="21" t="str">
        <f aca="false">IF(A107="","",(1+$E$11)^(-I107))</f>
        <v/>
      </c>
      <c r="K107" s="22" t="str">
        <f aca="false">IF(A107="","",G107*J107)</f>
        <v/>
      </c>
      <c r="L107" s="23" t="str">
        <f aca="false">IF(A107="","",L106/(1+$B$4*C107/$B$9))</f>
        <v/>
      </c>
      <c r="M107" s="24" t="n">
        <f aca="false">IF(A107="",$B$7+1,B107)</f>
        <v>46361</v>
      </c>
      <c r="N107" s="25" t="n">
        <f aca="false">IF(A107="",0,-G107)</f>
        <v>0</v>
      </c>
      <c r="O107" s="25" t="n">
        <f aca="false">IF(A107="",0,-G107)</f>
        <v>0</v>
      </c>
    </row>
    <row r="108" customFormat="false" ht="15" hidden="false" customHeight="false" outlineLevel="0" collapsed="false">
      <c r="A108" s="16" t="str">
        <f aca="false">IF(ROW()-17&lt;=$B$5,ROW()-17,"")</f>
        <v/>
      </c>
      <c r="B108" s="17" t="str">
        <f aca="false">IF(A108="","",EDATE($B$8,A108-1))</f>
        <v/>
      </c>
      <c r="C108" s="16" t="str">
        <f aca="false">IF(A108="","",B108-B107)</f>
        <v/>
      </c>
      <c r="D108" s="19" t="str">
        <f aca="false">IF(A108="","",H107)</f>
        <v/>
      </c>
      <c r="E108" s="19" t="str">
        <f aca="false">IF(A108="","",ROUND(D108*$B$4*C108/$B$9,0))</f>
        <v/>
      </c>
      <c r="F108" s="19" t="str">
        <f aca="false">IF(A108="","",G108-E108)</f>
        <v/>
      </c>
      <c r="G108" s="19" t="str">
        <f aca="false">IF(A108="","",IF(A108=$B$5,D108+E108,$E$3))</f>
        <v/>
      </c>
      <c r="H108" s="19" t="str">
        <f aca="false">IF(A108="","",D108+E108-G108)</f>
        <v/>
      </c>
      <c r="I108" s="20" t="str">
        <f aca="false">IF(A108="","",(B108-$B$7)/365)</f>
        <v/>
      </c>
      <c r="J108" s="21" t="str">
        <f aca="false">IF(A108="","",(1+$E$11)^(-I108))</f>
        <v/>
      </c>
      <c r="K108" s="22" t="str">
        <f aca="false">IF(A108="","",G108*J108)</f>
        <v/>
      </c>
      <c r="L108" s="23" t="str">
        <f aca="false">IF(A108="","",L107/(1+$B$4*C108/$B$9))</f>
        <v/>
      </c>
      <c r="M108" s="24" t="n">
        <f aca="false">IF(A108="",$B$7+1,B108)</f>
        <v>46361</v>
      </c>
      <c r="N108" s="25" t="n">
        <f aca="false">IF(A108="",0,-G108)</f>
        <v>0</v>
      </c>
      <c r="O108" s="25" t="n">
        <f aca="false">IF(A108="",0,-G108)</f>
        <v>0</v>
      </c>
    </row>
    <row r="109" customFormat="false" ht="15" hidden="false" customHeight="false" outlineLevel="0" collapsed="false">
      <c r="A109" s="16" t="str">
        <f aca="false">IF(ROW()-17&lt;=$B$5,ROW()-17,"")</f>
        <v/>
      </c>
      <c r="B109" s="17" t="str">
        <f aca="false">IF(A109="","",EDATE($B$8,A109-1))</f>
        <v/>
      </c>
      <c r="C109" s="16" t="str">
        <f aca="false">IF(A109="","",B109-B108)</f>
        <v/>
      </c>
      <c r="D109" s="19" t="str">
        <f aca="false">IF(A109="","",H108)</f>
        <v/>
      </c>
      <c r="E109" s="19" t="str">
        <f aca="false">IF(A109="","",ROUND(D109*$B$4*C109/$B$9,0))</f>
        <v/>
      </c>
      <c r="F109" s="19" t="str">
        <f aca="false">IF(A109="","",G109-E109)</f>
        <v/>
      </c>
      <c r="G109" s="19" t="str">
        <f aca="false">IF(A109="","",IF(A109=$B$5,D109+E109,$E$3))</f>
        <v/>
      </c>
      <c r="H109" s="19" t="str">
        <f aca="false">IF(A109="","",D109+E109-G109)</f>
        <v/>
      </c>
      <c r="I109" s="20" t="str">
        <f aca="false">IF(A109="","",(B109-$B$7)/365)</f>
        <v/>
      </c>
      <c r="J109" s="21" t="str">
        <f aca="false">IF(A109="","",(1+$E$11)^(-I109))</f>
        <v/>
      </c>
      <c r="K109" s="22" t="str">
        <f aca="false">IF(A109="","",G109*J109)</f>
        <v/>
      </c>
      <c r="L109" s="23" t="str">
        <f aca="false">IF(A109="","",L108/(1+$B$4*C109/$B$9))</f>
        <v/>
      </c>
      <c r="M109" s="24" t="n">
        <f aca="false">IF(A109="",$B$7+1,B109)</f>
        <v>46361</v>
      </c>
      <c r="N109" s="25" t="n">
        <f aca="false">IF(A109="",0,-G109)</f>
        <v>0</v>
      </c>
      <c r="O109" s="25" t="n">
        <f aca="false">IF(A109="",0,-G109)</f>
        <v>0</v>
      </c>
    </row>
    <row r="110" customFormat="false" ht="15" hidden="false" customHeight="false" outlineLevel="0" collapsed="false">
      <c r="A110" s="16" t="str">
        <f aca="false">IF(ROW()-17&lt;=$B$5,ROW()-17,"")</f>
        <v/>
      </c>
      <c r="B110" s="17" t="str">
        <f aca="false">IF(A110="","",EDATE($B$8,A110-1))</f>
        <v/>
      </c>
      <c r="C110" s="16" t="str">
        <f aca="false">IF(A110="","",B110-B109)</f>
        <v/>
      </c>
      <c r="D110" s="19" t="str">
        <f aca="false">IF(A110="","",H109)</f>
        <v/>
      </c>
      <c r="E110" s="19" t="str">
        <f aca="false">IF(A110="","",ROUND(D110*$B$4*C110/$B$9,0))</f>
        <v/>
      </c>
      <c r="F110" s="19" t="str">
        <f aca="false">IF(A110="","",G110-E110)</f>
        <v/>
      </c>
      <c r="G110" s="19" t="str">
        <f aca="false">IF(A110="","",IF(A110=$B$5,D110+E110,$E$3))</f>
        <v/>
      </c>
      <c r="H110" s="19" t="str">
        <f aca="false">IF(A110="","",D110+E110-G110)</f>
        <v/>
      </c>
      <c r="I110" s="20" t="str">
        <f aca="false">IF(A110="","",(B110-$B$7)/365)</f>
        <v/>
      </c>
      <c r="J110" s="21" t="str">
        <f aca="false">IF(A110="","",(1+$E$11)^(-I110))</f>
        <v/>
      </c>
      <c r="K110" s="22" t="str">
        <f aca="false">IF(A110="","",G110*J110)</f>
        <v/>
      </c>
      <c r="L110" s="23" t="str">
        <f aca="false">IF(A110="","",L109/(1+$B$4*C110/$B$9))</f>
        <v/>
      </c>
      <c r="M110" s="24" t="n">
        <f aca="false">IF(A110="",$B$7+1,B110)</f>
        <v>46361</v>
      </c>
      <c r="N110" s="25" t="n">
        <f aca="false">IF(A110="",0,-G110)</f>
        <v>0</v>
      </c>
      <c r="O110" s="25" t="n">
        <f aca="false">IF(A110="",0,-G110)</f>
        <v>0</v>
      </c>
    </row>
    <row r="111" customFormat="false" ht="15" hidden="false" customHeight="false" outlineLevel="0" collapsed="false">
      <c r="A111" s="16" t="str">
        <f aca="false">IF(ROW()-17&lt;=$B$5,ROW()-17,"")</f>
        <v/>
      </c>
      <c r="B111" s="17" t="str">
        <f aca="false">IF(A111="","",EDATE($B$8,A111-1))</f>
        <v/>
      </c>
      <c r="C111" s="16" t="str">
        <f aca="false">IF(A111="","",B111-B110)</f>
        <v/>
      </c>
      <c r="D111" s="19" t="str">
        <f aca="false">IF(A111="","",H110)</f>
        <v/>
      </c>
      <c r="E111" s="19" t="str">
        <f aca="false">IF(A111="","",ROUND(D111*$B$4*C111/$B$9,0))</f>
        <v/>
      </c>
      <c r="F111" s="19" t="str">
        <f aca="false">IF(A111="","",G111-E111)</f>
        <v/>
      </c>
      <c r="G111" s="19" t="str">
        <f aca="false">IF(A111="","",IF(A111=$B$5,D111+E111,$E$3))</f>
        <v/>
      </c>
      <c r="H111" s="19" t="str">
        <f aca="false">IF(A111="","",D111+E111-G111)</f>
        <v/>
      </c>
      <c r="I111" s="20" t="str">
        <f aca="false">IF(A111="","",(B111-$B$7)/365)</f>
        <v/>
      </c>
      <c r="J111" s="21" t="str">
        <f aca="false">IF(A111="","",(1+$E$11)^(-I111))</f>
        <v/>
      </c>
      <c r="K111" s="22" t="str">
        <f aca="false">IF(A111="","",G111*J111)</f>
        <v/>
      </c>
      <c r="L111" s="23" t="str">
        <f aca="false">IF(A111="","",L110/(1+$B$4*C111/$B$9))</f>
        <v/>
      </c>
      <c r="M111" s="24" t="n">
        <f aca="false">IF(A111="",$B$7+1,B111)</f>
        <v>46361</v>
      </c>
      <c r="N111" s="25" t="n">
        <f aca="false">IF(A111="",0,-G111)</f>
        <v>0</v>
      </c>
      <c r="O111" s="25" t="n">
        <f aca="false">IF(A111="",0,-G111)</f>
        <v>0</v>
      </c>
    </row>
    <row r="112" customFormat="false" ht="15" hidden="false" customHeight="false" outlineLevel="0" collapsed="false">
      <c r="A112" s="16" t="str">
        <f aca="false">IF(ROW()-17&lt;=$B$5,ROW()-17,"")</f>
        <v/>
      </c>
      <c r="B112" s="17" t="str">
        <f aca="false">IF(A112="","",EDATE($B$8,A112-1))</f>
        <v/>
      </c>
      <c r="C112" s="16" t="str">
        <f aca="false">IF(A112="","",B112-B111)</f>
        <v/>
      </c>
      <c r="D112" s="19" t="str">
        <f aca="false">IF(A112="","",H111)</f>
        <v/>
      </c>
      <c r="E112" s="19" t="str">
        <f aca="false">IF(A112="","",ROUND(D112*$B$4*C112/$B$9,0))</f>
        <v/>
      </c>
      <c r="F112" s="19" t="str">
        <f aca="false">IF(A112="","",G112-E112)</f>
        <v/>
      </c>
      <c r="G112" s="19" t="str">
        <f aca="false">IF(A112="","",IF(A112=$B$5,D112+E112,$E$3))</f>
        <v/>
      </c>
      <c r="H112" s="19" t="str">
        <f aca="false">IF(A112="","",D112+E112-G112)</f>
        <v/>
      </c>
      <c r="I112" s="20" t="str">
        <f aca="false">IF(A112="","",(B112-$B$7)/365)</f>
        <v/>
      </c>
      <c r="J112" s="21" t="str">
        <f aca="false">IF(A112="","",(1+$E$11)^(-I112))</f>
        <v/>
      </c>
      <c r="K112" s="22" t="str">
        <f aca="false">IF(A112="","",G112*J112)</f>
        <v/>
      </c>
      <c r="L112" s="23" t="str">
        <f aca="false">IF(A112="","",L111/(1+$B$4*C112/$B$9))</f>
        <v/>
      </c>
      <c r="M112" s="24" t="n">
        <f aca="false">IF(A112="",$B$7+1,B112)</f>
        <v>46361</v>
      </c>
      <c r="N112" s="25" t="n">
        <f aca="false">IF(A112="",0,-G112)</f>
        <v>0</v>
      </c>
      <c r="O112" s="25" t="n">
        <f aca="false">IF(A112="",0,-G112)</f>
        <v>0</v>
      </c>
    </row>
    <row r="113" customFormat="false" ht="15" hidden="false" customHeight="false" outlineLevel="0" collapsed="false">
      <c r="A113" s="16" t="str">
        <f aca="false">IF(ROW()-17&lt;=$B$5,ROW()-17,"")</f>
        <v/>
      </c>
      <c r="B113" s="17" t="str">
        <f aca="false">IF(A113="","",EDATE($B$8,A113-1))</f>
        <v/>
      </c>
      <c r="C113" s="16" t="str">
        <f aca="false">IF(A113="","",B113-B112)</f>
        <v/>
      </c>
      <c r="D113" s="19" t="str">
        <f aca="false">IF(A113="","",H112)</f>
        <v/>
      </c>
      <c r="E113" s="19" t="str">
        <f aca="false">IF(A113="","",ROUND(D113*$B$4*C113/$B$9,0))</f>
        <v/>
      </c>
      <c r="F113" s="19" t="str">
        <f aca="false">IF(A113="","",G113-E113)</f>
        <v/>
      </c>
      <c r="G113" s="19" t="str">
        <f aca="false">IF(A113="","",IF(A113=$B$5,D113+E113,$E$3))</f>
        <v/>
      </c>
      <c r="H113" s="19" t="str">
        <f aca="false">IF(A113="","",D113+E113-G113)</f>
        <v/>
      </c>
      <c r="I113" s="20" t="str">
        <f aca="false">IF(A113="","",(B113-$B$7)/365)</f>
        <v/>
      </c>
      <c r="J113" s="21" t="str">
        <f aca="false">IF(A113="","",(1+$E$11)^(-I113))</f>
        <v/>
      </c>
      <c r="K113" s="22" t="str">
        <f aca="false">IF(A113="","",G113*J113)</f>
        <v/>
      </c>
      <c r="L113" s="23" t="str">
        <f aca="false">IF(A113="","",L112/(1+$B$4*C113/$B$9))</f>
        <v/>
      </c>
      <c r="M113" s="24" t="n">
        <f aca="false">IF(A113="",$B$7+1,B113)</f>
        <v>46361</v>
      </c>
      <c r="N113" s="25" t="n">
        <f aca="false">IF(A113="",0,-G113)</f>
        <v>0</v>
      </c>
      <c r="O113" s="25" t="n">
        <f aca="false">IF(A113="",0,-G113)</f>
        <v>0</v>
      </c>
    </row>
    <row r="114" customFormat="false" ht="15" hidden="false" customHeight="false" outlineLevel="0" collapsed="false">
      <c r="A114" s="16" t="str">
        <f aca="false">IF(ROW()-17&lt;=$B$5,ROW()-17,"")</f>
        <v/>
      </c>
      <c r="B114" s="17" t="str">
        <f aca="false">IF(A114="","",EDATE($B$8,A114-1))</f>
        <v/>
      </c>
      <c r="C114" s="16" t="str">
        <f aca="false">IF(A114="","",B114-B113)</f>
        <v/>
      </c>
      <c r="D114" s="19" t="str">
        <f aca="false">IF(A114="","",H113)</f>
        <v/>
      </c>
      <c r="E114" s="19" t="str">
        <f aca="false">IF(A114="","",ROUND(D114*$B$4*C114/$B$9,0))</f>
        <v/>
      </c>
      <c r="F114" s="19" t="str">
        <f aca="false">IF(A114="","",G114-E114)</f>
        <v/>
      </c>
      <c r="G114" s="19" t="str">
        <f aca="false">IF(A114="","",IF(A114=$B$5,D114+E114,$E$3))</f>
        <v/>
      </c>
      <c r="H114" s="19" t="str">
        <f aca="false">IF(A114="","",D114+E114-G114)</f>
        <v/>
      </c>
      <c r="I114" s="20" t="str">
        <f aca="false">IF(A114="","",(B114-$B$7)/365)</f>
        <v/>
      </c>
      <c r="J114" s="21" t="str">
        <f aca="false">IF(A114="","",(1+$E$11)^(-I114))</f>
        <v/>
      </c>
      <c r="K114" s="22" t="str">
        <f aca="false">IF(A114="","",G114*J114)</f>
        <v/>
      </c>
      <c r="L114" s="23" t="str">
        <f aca="false">IF(A114="","",L113/(1+$B$4*C114/$B$9))</f>
        <v/>
      </c>
      <c r="M114" s="24" t="n">
        <f aca="false">IF(A114="",$B$7+1,B114)</f>
        <v>46361</v>
      </c>
      <c r="N114" s="25" t="n">
        <f aca="false">IF(A114="",0,-G114)</f>
        <v>0</v>
      </c>
      <c r="O114" s="25" t="n">
        <f aca="false">IF(A114="",0,-G114)</f>
        <v>0</v>
      </c>
    </row>
    <row r="115" customFormat="false" ht="15" hidden="false" customHeight="false" outlineLevel="0" collapsed="false">
      <c r="A115" s="16" t="str">
        <f aca="false">IF(ROW()-17&lt;=$B$5,ROW()-17,"")</f>
        <v/>
      </c>
      <c r="B115" s="17" t="str">
        <f aca="false">IF(A115="","",EDATE($B$8,A115-1))</f>
        <v/>
      </c>
      <c r="C115" s="16" t="str">
        <f aca="false">IF(A115="","",B115-B114)</f>
        <v/>
      </c>
      <c r="D115" s="19" t="str">
        <f aca="false">IF(A115="","",H114)</f>
        <v/>
      </c>
      <c r="E115" s="19" t="str">
        <f aca="false">IF(A115="","",ROUND(D115*$B$4*C115/$B$9,0))</f>
        <v/>
      </c>
      <c r="F115" s="19" t="str">
        <f aca="false">IF(A115="","",G115-E115)</f>
        <v/>
      </c>
      <c r="G115" s="19" t="str">
        <f aca="false">IF(A115="","",IF(A115=$B$5,D115+E115,$E$3))</f>
        <v/>
      </c>
      <c r="H115" s="19" t="str">
        <f aca="false">IF(A115="","",D115+E115-G115)</f>
        <v/>
      </c>
      <c r="I115" s="20" t="str">
        <f aca="false">IF(A115="","",(B115-$B$7)/365)</f>
        <v/>
      </c>
      <c r="J115" s="21" t="str">
        <f aca="false">IF(A115="","",(1+$E$11)^(-I115))</f>
        <v/>
      </c>
      <c r="K115" s="22" t="str">
        <f aca="false">IF(A115="","",G115*J115)</f>
        <v/>
      </c>
      <c r="L115" s="23" t="str">
        <f aca="false">IF(A115="","",L114/(1+$B$4*C115/$B$9))</f>
        <v/>
      </c>
      <c r="M115" s="24" t="n">
        <f aca="false">IF(A115="",$B$7+1,B115)</f>
        <v>46361</v>
      </c>
      <c r="N115" s="25" t="n">
        <f aca="false">IF(A115="",0,-G115)</f>
        <v>0</v>
      </c>
      <c r="O115" s="25" t="n">
        <f aca="false">IF(A115="",0,-G115)</f>
        <v>0</v>
      </c>
    </row>
    <row r="116" customFormat="false" ht="15" hidden="false" customHeight="false" outlineLevel="0" collapsed="false">
      <c r="A116" s="16" t="str">
        <f aca="false">IF(ROW()-17&lt;=$B$5,ROW()-17,"")</f>
        <v/>
      </c>
      <c r="B116" s="17" t="str">
        <f aca="false">IF(A116="","",EDATE($B$8,A116-1))</f>
        <v/>
      </c>
      <c r="C116" s="16" t="str">
        <f aca="false">IF(A116="","",B116-B115)</f>
        <v/>
      </c>
      <c r="D116" s="19" t="str">
        <f aca="false">IF(A116="","",H115)</f>
        <v/>
      </c>
      <c r="E116" s="19" t="str">
        <f aca="false">IF(A116="","",ROUND(D116*$B$4*C116/$B$9,0))</f>
        <v/>
      </c>
      <c r="F116" s="19" t="str">
        <f aca="false">IF(A116="","",G116-E116)</f>
        <v/>
      </c>
      <c r="G116" s="19" t="str">
        <f aca="false">IF(A116="","",IF(A116=$B$5,D116+E116,$E$3))</f>
        <v/>
      </c>
      <c r="H116" s="19" t="str">
        <f aca="false">IF(A116="","",D116+E116-G116)</f>
        <v/>
      </c>
      <c r="I116" s="20" t="str">
        <f aca="false">IF(A116="","",(B116-$B$7)/365)</f>
        <v/>
      </c>
      <c r="J116" s="21" t="str">
        <f aca="false">IF(A116="","",(1+$E$11)^(-I116))</f>
        <v/>
      </c>
      <c r="K116" s="22" t="str">
        <f aca="false">IF(A116="","",G116*J116)</f>
        <v/>
      </c>
      <c r="L116" s="23" t="str">
        <f aca="false">IF(A116="","",L115/(1+$B$4*C116/$B$9))</f>
        <v/>
      </c>
      <c r="M116" s="24" t="n">
        <f aca="false">IF(A116="",$B$7+1,B116)</f>
        <v>46361</v>
      </c>
      <c r="N116" s="25" t="n">
        <f aca="false">IF(A116="",0,-G116)</f>
        <v>0</v>
      </c>
      <c r="O116" s="25" t="n">
        <f aca="false">IF(A116="",0,-G116)</f>
        <v>0</v>
      </c>
    </row>
    <row r="117" customFormat="false" ht="15" hidden="false" customHeight="false" outlineLevel="0" collapsed="false">
      <c r="A117" s="16" t="str">
        <f aca="false">IF(ROW()-17&lt;=$B$5,ROW()-17,"")</f>
        <v/>
      </c>
      <c r="B117" s="17" t="str">
        <f aca="false">IF(A117="","",EDATE($B$8,A117-1))</f>
        <v/>
      </c>
      <c r="C117" s="16" t="str">
        <f aca="false">IF(A117="","",B117-B116)</f>
        <v/>
      </c>
      <c r="D117" s="19" t="str">
        <f aca="false">IF(A117="","",H116)</f>
        <v/>
      </c>
      <c r="E117" s="19" t="str">
        <f aca="false">IF(A117="","",ROUND(D117*$B$4*C117/$B$9,0))</f>
        <v/>
      </c>
      <c r="F117" s="19" t="str">
        <f aca="false">IF(A117="","",G117-E117)</f>
        <v/>
      </c>
      <c r="G117" s="19" t="str">
        <f aca="false">IF(A117="","",IF(A117=$B$5,D117+E117,$E$3))</f>
        <v/>
      </c>
      <c r="H117" s="19" t="str">
        <f aca="false">IF(A117="","",D117+E117-G117)</f>
        <v/>
      </c>
      <c r="I117" s="20" t="str">
        <f aca="false">IF(A117="","",(B117-$B$7)/365)</f>
        <v/>
      </c>
      <c r="J117" s="21" t="str">
        <f aca="false">IF(A117="","",(1+$E$11)^(-I117))</f>
        <v/>
      </c>
      <c r="K117" s="22" t="str">
        <f aca="false">IF(A117="","",G117*J117)</f>
        <v/>
      </c>
      <c r="L117" s="23" t="str">
        <f aca="false">IF(A117="","",L116/(1+$B$4*C117/$B$9))</f>
        <v/>
      </c>
      <c r="M117" s="24" t="n">
        <f aca="false">IF(A117="",$B$7+1,B117)</f>
        <v>46361</v>
      </c>
      <c r="N117" s="25" t="n">
        <f aca="false">IF(A117="",0,-G117)</f>
        <v>0</v>
      </c>
      <c r="O117" s="25" t="n">
        <f aca="false">IF(A117="",0,-G117)</f>
        <v>0</v>
      </c>
    </row>
    <row r="118" customFormat="false" ht="15" hidden="false" customHeight="false" outlineLevel="0" collapsed="false">
      <c r="A118" s="16" t="str">
        <f aca="false">IF(ROW()-17&lt;=$B$5,ROW()-17,"")</f>
        <v/>
      </c>
      <c r="B118" s="17" t="str">
        <f aca="false">IF(A118="","",EDATE($B$8,A118-1))</f>
        <v/>
      </c>
      <c r="C118" s="16" t="str">
        <f aca="false">IF(A118="","",B118-B117)</f>
        <v/>
      </c>
      <c r="D118" s="19" t="str">
        <f aca="false">IF(A118="","",H117)</f>
        <v/>
      </c>
      <c r="E118" s="19" t="str">
        <f aca="false">IF(A118="","",ROUND(D118*$B$4*C118/$B$9,0))</f>
        <v/>
      </c>
      <c r="F118" s="19" t="str">
        <f aca="false">IF(A118="","",G118-E118)</f>
        <v/>
      </c>
      <c r="G118" s="19" t="str">
        <f aca="false">IF(A118="","",IF(A118=$B$5,D118+E118,$E$3))</f>
        <v/>
      </c>
      <c r="H118" s="19" t="str">
        <f aca="false">IF(A118="","",D118+E118-G118)</f>
        <v/>
      </c>
      <c r="I118" s="20" t="str">
        <f aca="false">IF(A118="","",(B118-$B$7)/365)</f>
        <v/>
      </c>
      <c r="J118" s="21" t="str">
        <f aca="false">IF(A118="","",(1+$E$11)^(-I118))</f>
        <v/>
      </c>
      <c r="K118" s="22" t="str">
        <f aca="false">IF(A118="","",G118*J118)</f>
        <v/>
      </c>
      <c r="L118" s="23" t="str">
        <f aca="false">IF(A118="","",L117/(1+$B$4*C118/$B$9))</f>
        <v/>
      </c>
      <c r="M118" s="24" t="n">
        <f aca="false">IF(A118="",$B$7+1,B118)</f>
        <v>46361</v>
      </c>
      <c r="N118" s="25" t="n">
        <f aca="false">IF(A118="",0,-G118)</f>
        <v>0</v>
      </c>
      <c r="O118" s="25" t="n">
        <f aca="false">IF(A118="",0,-G118)</f>
        <v>0</v>
      </c>
    </row>
    <row r="119" customFormat="false" ht="15" hidden="false" customHeight="false" outlineLevel="0" collapsed="false">
      <c r="A119" s="16" t="str">
        <f aca="false">IF(ROW()-17&lt;=$B$5,ROW()-17,"")</f>
        <v/>
      </c>
      <c r="B119" s="17" t="str">
        <f aca="false">IF(A119="","",EDATE($B$8,A119-1))</f>
        <v/>
      </c>
      <c r="C119" s="16" t="str">
        <f aca="false">IF(A119="","",B119-B118)</f>
        <v/>
      </c>
      <c r="D119" s="19" t="str">
        <f aca="false">IF(A119="","",H118)</f>
        <v/>
      </c>
      <c r="E119" s="19" t="str">
        <f aca="false">IF(A119="","",ROUND(D119*$B$4*C119/$B$9,0))</f>
        <v/>
      </c>
      <c r="F119" s="19" t="str">
        <f aca="false">IF(A119="","",G119-E119)</f>
        <v/>
      </c>
      <c r="G119" s="19" t="str">
        <f aca="false">IF(A119="","",IF(A119=$B$5,D119+E119,$E$3))</f>
        <v/>
      </c>
      <c r="H119" s="19" t="str">
        <f aca="false">IF(A119="","",D119+E119-G119)</f>
        <v/>
      </c>
      <c r="I119" s="20" t="str">
        <f aca="false">IF(A119="","",(B119-$B$7)/365)</f>
        <v/>
      </c>
      <c r="J119" s="21" t="str">
        <f aca="false">IF(A119="","",(1+$E$11)^(-I119))</f>
        <v/>
      </c>
      <c r="K119" s="22" t="str">
        <f aca="false">IF(A119="","",G119*J119)</f>
        <v/>
      </c>
      <c r="L119" s="23" t="str">
        <f aca="false">IF(A119="","",L118/(1+$B$4*C119/$B$9))</f>
        <v/>
      </c>
      <c r="M119" s="24" t="n">
        <f aca="false">IF(A119="",$B$7+1,B119)</f>
        <v>46361</v>
      </c>
      <c r="N119" s="25" t="n">
        <f aca="false">IF(A119="",0,-G119)</f>
        <v>0</v>
      </c>
      <c r="O119" s="25" t="n">
        <f aca="false">IF(A119="",0,-G119)</f>
        <v>0</v>
      </c>
    </row>
    <row r="120" customFormat="false" ht="15" hidden="false" customHeight="false" outlineLevel="0" collapsed="false">
      <c r="A120" s="16" t="str">
        <f aca="false">IF(ROW()-17&lt;=$B$5,ROW()-17,"")</f>
        <v/>
      </c>
      <c r="B120" s="17" t="str">
        <f aca="false">IF(A120="","",EDATE($B$8,A120-1))</f>
        <v/>
      </c>
      <c r="C120" s="16" t="str">
        <f aca="false">IF(A120="","",B120-B119)</f>
        <v/>
      </c>
      <c r="D120" s="19" t="str">
        <f aca="false">IF(A120="","",H119)</f>
        <v/>
      </c>
      <c r="E120" s="19" t="str">
        <f aca="false">IF(A120="","",ROUND(D120*$B$4*C120/$B$9,0))</f>
        <v/>
      </c>
      <c r="F120" s="19" t="str">
        <f aca="false">IF(A120="","",G120-E120)</f>
        <v/>
      </c>
      <c r="G120" s="19" t="str">
        <f aca="false">IF(A120="","",IF(A120=$B$5,D120+E120,$E$3))</f>
        <v/>
      </c>
      <c r="H120" s="19" t="str">
        <f aca="false">IF(A120="","",D120+E120-G120)</f>
        <v/>
      </c>
      <c r="I120" s="20" t="str">
        <f aca="false">IF(A120="","",(B120-$B$7)/365)</f>
        <v/>
      </c>
      <c r="J120" s="21" t="str">
        <f aca="false">IF(A120="","",(1+$E$11)^(-I120))</f>
        <v/>
      </c>
      <c r="K120" s="22" t="str">
        <f aca="false">IF(A120="","",G120*J120)</f>
        <v/>
      </c>
      <c r="L120" s="23" t="str">
        <f aca="false">IF(A120="","",L119/(1+$B$4*C120/$B$9))</f>
        <v/>
      </c>
      <c r="M120" s="24" t="n">
        <f aca="false">IF(A120="",$B$7+1,B120)</f>
        <v>46361</v>
      </c>
      <c r="N120" s="25" t="n">
        <f aca="false">IF(A120="",0,-G120)</f>
        <v>0</v>
      </c>
      <c r="O120" s="25" t="n">
        <f aca="false">IF(A120="",0,-G120)</f>
        <v>0</v>
      </c>
    </row>
    <row r="121" customFormat="false" ht="15" hidden="false" customHeight="false" outlineLevel="0" collapsed="false">
      <c r="A121" s="16" t="str">
        <f aca="false">IF(ROW()-17&lt;=$B$5,ROW()-17,"")</f>
        <v/>
      </c>
      <c r="B121" s="17" t="str">
        <f aca="false">IF(A121="","",EDATE($B$8,A121-1))</f>
        <v/>
      </c>
      <c r="C121" s="16" t="str">
        <f aca="false">IF(A121="","",B121-B120)</f>
        <v/>
      </c>
      <c r="D121" s="19" t="str">
        <f aca="false">IF(A121="","",H120)</f>
        <v/>
      </c>
      <c r="E121" s="19" t="str">
        <f aca="false">IF(A121="","",ROUND(D121*$B$4*C121/$B$9,0))</f>
        <v/>
      </c>
      <c r="F121" s="19" t="str">
        <f aca="false">IF(A121="","",G121-E121)</f>
        <v/>
      </c>
      <c r="G121" s="19" t="str">
        <f aca="false">IF(A121="","",IF(A121=$B$5,D121+E121,$E$3))</f>
        <v/>
      </c>
      <c r="H121" s="19" t="str">
        <f aca="false">IF(A121="","",D121+E121-G121)</f>
        <v/>
      </c>
      <c r="I121" s="20" t="str">
        <f aca="false">IF(A121="","",(B121-$B$7)/365)</f>
        <v/>
      </c>
      <c r="J121" s="21" t="str">
        <f aca="false">IF(A121="","",(1+$E$11)^(-I121))</f>
        <v/>
      </c>
      <c r="K121" s="22" t="str">
        <f aca="false">IF(A121="","",G121*J121)</f>
        <v/>
      </c>
      <c r="L121" s="23" t="str">
        <f aca="false">IF(A121="","",L120/(1+$B$4*C121/$B$9))</f>
        <v/>
      </c>
      <c r="M121" s="24" t="n">
        <f aca="false">IF(A121="",$B$7+1,B121)</f>
        <v>46361</v>
      </c>
      <c r="N121" s="25" t="n">
        <f aca="false">IF(A121="",0,-G121)</f>
        <v>0</v>
      </c>
      <c r="O121" s="25" t="n">
        <f aca="false">IF(A121="",0,-G121)</f>
        <v>0</v>
      </c>
    </row>
    <row r="122" customFormat="false" ht="15" hidden="false" customHeight="false" outlineLevel="0" collapsed="false">
      <c r="A122" s="16" t="str">
        <f aca="false">IF(ROW()-17&lt;=$B$5,ROW()-17,"")</f>
        <v/>
      </c>
      <c r="B122" s="17" t="str">
        <f aca="false">IF(A122="","",EDATE($B$8,A122-1))</f>
        <v/>
      </c>
      <c r="C122" s="16" t="str">
        <f aca="false">IF(A122="","",B122-B121)</f>
        <v/>
      </c>
      <c r="D122" s="19" t="str">
        <f aca="false">IF(A122="","",H121)</f>
        <v/>
      </c>
      <c r="E122" s="19" t="str">
        <f aca="false">IF(A122="","",ROUND(D122*$B$4*C122/$B$9,0))</f>
        <v/>
      </c>
      <c r="F122" s="19" t="str">
        <f aca="false">IF(A122="","",G122-E122)</f>
        <v/>
      </c>
      <c r="G122" s="19" t="str">
        <f aca="false">IF(A122="","",IF(A122=$B$5,D122+E122,$E$3))</f>
        <v/>
      </c>
      <c r="H122" s="19" t="str">
        <f aca="false">IF(A122="","",D122+E122-G122)</f>
        <v/>
      </c>
      <c r="I122" s="20" t="str">
        <f aca="false">IF(A122="","",(B122-$B$7)/365)</f>
        <v/>
      </c>
      <c r="J122" s="21" t="str">
        <f aca="false">IF(A122="","",(1+$E$11)^(-I122))</f>
        <v/>
      </c>
      <c r="K122" s="22" t="str">
        <f aca="false">IF(A122="","",G122*J122)</f>
        <v/>
      </c>
      <c r="L122" s="23" t="str">
        <f aca="false">IF(A122="","",L121/(1+$B$4*C122/$B$9))</f>
        <v/>
      </c>
      <c r="M122" s="24" t="n">
        <f aca="false">IF(A122="",$B$7+1,B122)</f>
        <v>46361</v>
      </c>
      <c r="N122" s="25" t="n">
        <f aca="false">IF(A122="",0,-G122)</f>
        <v>0</v>
      </c>
      <c r="O122" s="25" t="n">
        <f aca="false">IF(A122="",0,-G122)</f>
        <v>0</v>
      </c>
    </row>
    <row r="123" customFormat="false" ht="15" hidden="false" customHeight="false" outlineLevel="0" collapsed="false">
      <c r="A123" s="16" t="str">
        <f aca="false">IF(ROW()-17&lt;=$B$5,ROW()-17,"")</f>
        <v/>
      </c>
      <c r="B123" s="17" t="str">
        <f aca="false">IF(A123="","",EDATE($B$8,A123-1))</f>
        <v/>
      </c>
      <c r="C123" s="16" t="str">
        <f aca="false">IF(A123="","",B123-B122)</f>
        <v/>
      </c>
      <c r="D123" s="19" t="str">
        <f aca="false">IF(A123="","",H122)</f>
        <v/>
      </c>
      <c r="E123" s="19" t="str">
        <f aca="false">IF(A123="","",ROUND(D123*$B$4*C123/$B$9,0))</f>
        <v/>
      </c>
      <c r="F123" s="19" t="str">
        <f aca="false">IF(A123="","",G123-E123)</f>
        <v/>
      </c>
      <c r="G123" s="19" t="str">
        <f aca="false">IF(A123="","",IF(A123=$B$5,D123+E123,$E$3))</f>
        <v/>
      </c>
      <c r="H123" s="19" t="str">
        <f aca="false">IF(A123="","",D123+E123-G123)</f>
        <v/>
      </c>
      <c r="I123" s="20" t="str">
        <f aca="false">IF(A123="","",(B123-$B$7)/365)</f>
        <v/>
      </c>
      <c r="J123" s="21" t="str">
        <f aca="false">IF(A123="","",(1+$E$11)^(-I123))</f>
        <v/>
      </c>
      <c r="K123" s="22" t="str">
        <f aca="false">IF(A123="","",G123*J123)</f>
        <v/>
      </c>
      <c r="L123" s="23" t="str">
        <f aca="false">IF(A123="","",L122/(1+$B$4*C123/$B$9))</f>
        <v/>
      </c>
      <c r="M123" s="24" t="n">
        <f aca="false">IF(A123="",$B$7+1,B123)</f>
        <v>46361</v>
      </c>
      <c r="N123" s="25" t="n">
        <f aca="false">IF(A123="",0,-G123)</f>
        <v>0</v>
      </c>
      <c r="O123" s="25" t="n">
        <f aca="false">IF(A123="",0,-G123)</f>
        <v>0</v>
      </c>
    </row>
    <row r="124" customFormat="false" ht="15" hidden="false" customHeight="false" outlineLevel="0" collapsed="false">
      <c r="A124" s="16" t="str">
        <f aca="false">IF(ROW()-17&lt;=$B$5,ROW()-17,"")</f>
        <v/>
      </c>
      <c r="B124" s="17" t="str">
        <f aca="false">IF(A124="","",EDATE($B$8,A124-1))</f>
        <v/>
      </c>
      <c r="C124" s="16" t="str">
        <f aca="false">IF(A124="","",B124-B123)</f>
        <v/>
      </c>
      <c r="D124" s="19" t="str">
        <f aca="false">IF(A124="","",H123)</f>
        <v/>
      </c>
      <c r="E124" s="19" t="str">
        <f aca="false">IF(A124="","",ROUND(D124*$B$4*C124/$B$9,0))</f>
        <v/>
      </c>
      <c r="F124" s="19" t="str">
        <f aca="false">IF(A124="","",G124-E124)</f>
        <v/>
      </c>
      <c r="G124" s="19" t="str">
        <f aca="false">IF(A124="","",IF(A124=$B$5,D124+E124,$E$3))</f>
        <v/>
      </c>
      <c r="H124" s="19" t="str">
        <f aca="false">IF(A124="","",D124+E124-G124)</f>
        <v/>
      </c>
      <c r="I124" s="20" t="str">
        <f aca="false">IF(A124="","",(B124-$B$7)/365)</f>
        <v/>
      </c>
      <c r="J124" s="21" t="str">
        <f aca="false">IF(A124="","",(1+$E$11)^(-I124))</f>
        <v/>
      </c>
      <c r="K124" s="22" t="str">
        <f aca="false">IF(A124="","",G124*J124)</f>
        <v/>
      </c>
      <c r="L124" s="23" t="str">
        <f aca="false">IF(A124="","",L123/(1+$B$4*C124/$B$9))</f>
        <v/>
      </c>
      <c r="M124" s="24" t="n">
        <f aca="false">IF(A124="",$B$7+1,B124)</f>
        <v>46361</v>
      </c>
      <c r="N124" s="25" t="n">
        <f aca="false">IF(A124="",0,-G124)</f>
        <v>0</v>
      </c>
      <c r="O124" s="25" t="n">
        <f aca="false">IF(A124="",0,-G124)</f>
        <v>0</v>
      </c>
    </row>
    <row r="125" customFormat="false" ht="15" hidden="false" customHeight="false" outlineLevel="0" collapsed="false">
      <c r="A125" s="16" t="str">
        <f aca="false">IF(ROW()-17&lt;=$B$5,ROW()-17,"")</f>
        <v/>
      </c>
      <c r="B125" s="17" t="str">
        <f aca="false">IF(A125="","",EDATE($B$8,A125-1))</f>
        <v/>
      </c>
      <c r="C125" s="16" t="str">
        <f aca="false">IF(A125="","",B125-B124)</f>
        <v/>
      </c>
      <c r="D125" s="19" t="str">
        <f aca="false">IF(A125="","",H124)</f>
        <v/>
      </c>
      <c r="E125" s="19" t="str">
        <f aca="false">IF(A125="","",ROUND(D125*$B$4*C125/$B$9,0))</f>
        <v/>
      </c>
      <c r="F125" s="19" t="str">
        <f aca="false">IF(A125="","",G125-E125)</f>
        <v/>
      </c>
      <c r="G125" s="19" t="str">
        <f aca="false">IF(A125="","",IF(A125=$B$5,D125+E125,$E$3))</f>
        <v/>
      </c>
      <c r="H125" s="19" t="str">
        <f aca="false">IF(A125="","",D125+E125-G125)</f>
        <v/>
      </c>
      <c r="I125" s="20" t="str">
        <f aca="false">IF(A125="","",(B125-$B$7)/365)</f>
        <v/>
      </c>
      <c r="J125" s="21" t="str">
        <f aca="false">IF(A125="","",(1+$E$11)^(-I125))</f>
        <v/>
      </c>
      <c r="K125" s="22" t="str">
        <f aca="false">IF(A125="","",G125*J125)</f>
        <v/>
      </c>
      <c r="L125" s="23" t="str">
        <f aca="false">IF(A125="","",L124/(1+$B$4*C125/$B$9))</f>
        <v/>
      </c>
      <c r="M125" s="24" t="n">
        <f aca="false">IF(A125="",$B$7+1,B125)</f>
        <v>46361</v>
      </c>
      <c r="N125" s="25" t="n">
        <f aca="false">IF(A125="",0,-G125)</f>
        <v>0</v>
      </c>
      <c r="O125" s="25" t="n">
        <f aca="false">IF(A125="",0,-G125)</f>
        <v>0</v>
      </c>
    </row>
    <row r="126" customFormat="false" ht="15" hidden="false" customHeight="false" outlineLevel="0" collapsed="false">
      <c r="A126" s="16" t="str">
        <f aca="false">IF(ROW()-17&lt;=$B$5,ROW()-17,"")</f>
        <v/>
      </c>
      <c r="B126" s="17" t="str">
        <f aca="false">IF(A126="","",EDATE($B$8,A126-1))</f>
        <v/>
      </c>
      <c r="C126" s="16" t="str">
        <f aca="false">IF(A126="","",B126-B125)</f>
        <v/>
      </c>
      <c r="D126" s="19" t="str">
        <f aca="false">IF(A126="","",H125)</f>
        <v/>
      </c>
      <c r="E126" s="19" t="str">
        <f aca="false">IF(A126="","",ROUND(D126*$B$4*C126/$B$9,0))</f>
        <v/>
      </c>
      <c r="F126" s="19" t="str">
        <f aca="false">IF(A126="","",G126-E126)</f>
        <v/>
      </c>
      <c r="G126" s="19" t="str">
        <f aca="false">IF(A126="","",IF(A126=$B$5,D126+E126,$E$3))</f>
        <v/>
      </c>
      <c r="H126" s="19" t="str">
        <f aca="false">IF(A126="","",D126+E126-G126)</f>
        <v/>
      </c>
      <c r="I126" s="20" t="str">
        <f aca="false">IF(A126="","",(B126-$B$7)/365)</f>
        <v/>
      </c>
      <c r="J126" s="21" t="str">
        <f aca="false">IF(A126="","",(1+$E$11)^(-I126))</f>
        <v/>
      </c>
      <c r="K126" s="22" t="str">
        <f aca="false">IF(A126="","",G126*J126)</f>
        <v/>
      </c>
      <c r="L126" s="23" t="str">
        <f aca="false">IF(A126="","",L125/(1+$B$4*C126/$B$9))</f>
        <v/>
      </c>
      <c r="M126" s="24" t="n">
        <f aca="false">IF(A126="",$B$7+1,B126)</f>
        <v>46361</v>
      </c>
      <c r="N126" s="25" t="n">
        <f aca="false">IF(A126="",0,-G126)</f>
        <v>0</v>
      </c>
      <c r="O126" s="25" t="n">
        <f aca="false">IF(A126="",0,-G126)</f>
        <v>0</v>
      </c>
    </row>
    <row r="127" customFormat="false" ht="15" hidden="false" customHeight="false" outlineLevel="0" collapsed="false">
      <c r="A127" s="16" t="str">
        <f aca="false">IF(ROW()-17&lt;=$B$5,ROW()-17,"")</f>
        <v/>
      </c>
      <c r="B127" s="17" t="str">
        <f aca="false">IF(A127="","",EDATE($B$8,A127-1))</f>
        <v/>
      </c>
      <c r="C127" s="16" t="str">
        <f aca="false">IF(A127="","",B127-B126)</f>
        <v/>
      </c>
      <c r="D127" s="19" t="str">
        <f aca="false">IF(A127="","",H126)</f>
        <v/>
      </c>
      <c r="E127" s="19" t="str">
        <f aca="false">IF(A127="","",ROUND(D127*$B$4*C127/$B$9,0))</f>
        <v/>
      </c>
      <c r="F127" s="19" t="str">
        <f aca="false">IF(A127="","",G127-E127)</f>
        <v/>
      </c>
      <c r="G127" s="19" t="str">
        <f aca="false">IF(A127="","",IF(A127=$B$5,D127+E127,$E$3))</f>
        <v/>
      </c>
      <c r="H127" s="19" t="str">
        <f aca="false">IF(A127="","",D127+E127-G127)</f>
        <v/>
      </c>
      <c r="I127" s="20" t="str">
        <f aca="false">IF(A127="","",(B127-$B$7)/365)</f>
        <v/>
      </c>
      <c r="J127" s="21" t="str">
        <f aca="false">IF(A127="","",(1+$E$11)^(-I127))</f>
        <v/>
      </c>
      <c r="K127" s="22" t="str">
        <f aca="false">IF(A127="","",G127*J127)</f>
        <v/>
      </c>
      <c r="L127" s="23" t="str">
        <f aca="false">IF(A127="","",L126/(1+$B$4*C127/$B$9))</f>
        <v/>
      </c>
      <c r="M127" s="24" t="n">
        <f aca="false">IF(A127="",$B$7+1,B127)</f>
        <v>46361</v>
      </c>
      <c r="N127" s="25" t="n">
        <f aca="false">IF(A127="",0,-G127)</f>
        <v>0</v>
      </c>
      <c r="O127" s="25" t="n">
        <f aca="false">IF(A127="",0,-G127)</f>
        <v>0</v>
      </c>
    </row>
    <row r="128" customFormat="false" ht="15" hidden="false" customHeight="false" outlineLevel="0" collapsed="false">
      <c r="A128" s="16" t="str">
        <f aca="false">IF(ROW()-17&lt;=$B$5,ROW()-17,"")</f>
        <v/>
      </c>
      <c r="B128" s="17" t="str">
        <f aca="false">IF(A128="","",EDATE($B$8,A128-1))</f>
        <v/>
      </c>
      <c r="C128" s="16" t="str">
        <f aca="false">IF(A128="","",B128-B127)</f>
        <v/>
      </c>
      <c r="D128" s="19" t="str">
        <f aca="false">IF(A128="","",H127)</f>
        <v/>
      </c>
      <c r="E128" s="19" t="str">
        <f aca="false">IF(A128="","",ROUND(D128*$B$4*C128/$B$9,0))</f>
        <v/>
      </c>
      <c r="F128" s="19" t="str">
        <f aca="false">IF(A128="","",G128-E128)</f>
        <v/>
      </c>
      <c r="G128" s="19" t="str">
        <f aca="false">IF(A128="","",IF(A128=$B$5,D128+E128,$E$3))</f>
        <v/>
      </c>
      <c r="H128" s="19" t="str">
        <f aca="false">IF(A128="","",D128+E128-G128)</f>
        <v/>
      </c>
      <c r="I128" s="20" t="str">
        <f aca="false">IF(A128="","",(B128-$B$7)/365)</f>
        <v/>
      </c>
      <c r="J128" s="21" t="str">
        <f aca="false">IF(A128="","",(1+$E$11)^(-I128))</f>
        <v/>
      </c>
      <c r="K128" s="22" t="str">
        <f aca="false">IF(A128="","",G128*J128)</f>
        <v/>
      </c>
      <c r="L128" s="23" t="str">
        <f aca="false">IF(A128="","",L127/(1+$B$4*C128/$B$9))</f>
        <v/>
      </c>
      <c r="M128" s="24" t="n">
        <f aca="false">IF(A128="",$B$7+1,B128)</f>
        <v>46361</v>
      </c>
      <c r="N128" s="25" t="n">
        <f aca="false">IF(A128="",0,-G128)</f>
        <v>0</v>
      </c>
      <c r="O128" s="25" t="n">
        <f aca="false">IF(A128="",0,-G128)</f>
        <v>0</v>
      </c>
    </row>
    <row r="129" customFormat="false" ht="15" hidden="false" customHeight="false" outlineLevel="0" collapsed="false">
      <c r="A129" s="16" t="str">
        <f aca="false">IF(ROW()-17&lt;=$B$5,ROW()-17,"")</f>
        <v/>
      </c>
      <c r="B129" s="17" t="str">
        <f aca="false">IF(A129="","",EDATE($B$8,A129-1))</f>
        <v/>
      </c>
      <c r="C129" s="16" t="str">
        <f aca="false">IF(A129="","",B129-B128)</f>
        <v/>
      </c>
      <c r="D129" s="19" t="str">
        <f aca="false">IF(A129="","",H128)</f>
        <v/>
      </c>
      <c r="E129" s="19" t="str">
        <f aca="false">IF(A129="","",ROUND(D129*$B$4*C129/$B$9,0))</f>
        <v/>
      </c>
      <c r="F129" s="19" t="str">
        <f aca="false">IF(A129="","",G129-E129)</f>
        <v/>
      </c>
      <c r="G129" s="19" t="str">
        <f aca="false">IF(A129="","",IF(A129=$B$5,D129+E129,$E$3))</f>
        <v/>
      </c>
      <c r="H129" s="19" t="str">
        <f aca="false">IF(A129="","",D129+E129-G129)</f>
        <v/>
      </c>
      <c r="I129" s="20" t="str">
        <f aca="false">IF(A129="","",(B129-$B$7)/365)</f>
        <v/>
      </c>
      <c r="J129" s="21" t="str">
        <f aca="false">IF(A129="","",(1+$E$11)^(-I129))</f>
        <v/>
      </c>
      <c r="K129" s="22" t="str">
        <f aca="false">IF(A129="","",G129*J129)</f>
        <v/>
      </c>
      <c r="L129" s="23" t="str">
        <f aca="false">IF(A129="","",L128/(1+$B$4*C129/$B$9))</f>
        <v/>
      </c>
      <c r="M129" s="24" t="n">
        <f aca="false">IF(A129="",$B$7+1,B129)</f>
        <v>46361</v>
      </c>
      <c r="N129" s="25" t="n">
        <f aca="false">IF(A129="",0,-G129)</f>
        <v>0</v>
      </c>
      <c r="O129" s="25" t="n">
        <f aca="false">IF(A129="",0,-G129)</f>
        <v>0</v>
      </c>
    </row>
    <row r="130" customFormat="false" ht="15" hidden="false" customHeight="false" outlineLevel="0" collapsed="false">
      <c r="A130" s="16" t="str">
        <f aca="false">IF(ROW()-17&lt;=$B$5,ROW()-17,"")</f>
        <v/>
      </c>
      <c r="B130" s="17" t="str">
        <f aca="false">IF(A130="","",EDATE($B$8,A130-1))</f>
        <v/>
      </c>
      <c r="C130" s="16" t="str">
        <f aca="false">IF(A130="","",B130-B129)</f>
        <v/>
      </c>
      <c r="D130" s="19" t="str">
        <f aca="false">IF(A130="","",H129)</f>
        <v/>
      </c>
      <c r="E130" s="19" t="str">
        <f aca="false">IF(A130="","",ROUND(D130*$B$4*C130/$B$9,0))</f>
        <v/>
      </c>
      <c r="F130" s="19" t="str">
        <f aca="false">IF(A130="","",G130-E130)</f>
        <v/>
      </c>
      <c r="G130" s="19" t="str">
        <f aca="false">IF(A130="","",IF(A130=$B$5,D130+E130,$E$3))</f>
        <v/>
      </c>
      <c r="H130" s="19" t="str">
        <f aca="false">IF(A130="","",D130+E130-G130)</f>
        <v/>
      </c>
      <c r="I130" s="20" t="str">
        <f aca="false">IF(A130="","",(B130-$B$7)/365)</f>
        <v/>
      </c>
      <c r="J130" s="21" t="str">
        <f aca="false">IF(A130="","",(1+$E$11)^(-I130))</f>
        <v/>
      </c>
      <c r="K130" s="22" t="str">
        <f aca="false">IF(A130="","",G130*J130)</f>
        <v/>
      </c>
      <c r="L130" s="23" t="str">
        <f aca="false">IF(A130="","",L129/(1+$B$4*C130/$B$9))</f>
        <v/>
      </c>
      <c r="M130" s="24" t="n">
        <f aca="false">IF(A130="",$B$7+1,B130)</f>
        <v>46361</v>
      </c>
      <c r="N130" s="25" t="n">
        <f aca="false">IF(A130="",0,-G130)</f>
        <v>0</v>
      </c>
      <c r="O130" s="25" t="n">
        <f aca="false">IF(A130="",0,-G130)</f>
        <v>0</v>
      </c>
    </row>
    <row r="131" customFormat="false" ht="15" hidden="false" customHeight="false" outlineLevel="0" collapsed="false">
      <c r="A131" s="16" t="str">
        <f aca="false">IF(ROW()-17&lt;=$B$5,ROW()-17,"")</f>
        <v/>
      </c>
      <c r="B131" s="17" t="str">
        <f aca="false">IF(A131="","",EDATE($B$8,A131-1))</f>
        <v/>
      </c>
      <c r="C131" s="16" t="str">
        <f aca="false">IF(A131="","",B131-B130)</f>
        <v/>
      </c>
      <c r="D131" s="19" t="str">
        <f aca="false">IF(A131="","",H130)</f>
        <v/>
      </c>
      <c r="E131" s="19" t="str">
        <f aca="false">IF(A131="","",ROUND(D131*$B$4*C131/$B$9,0))</f>
        <v/>
      </c>
      <c r="F131" s="19" t="str">
        <f aca="false">IF(A131="","",G131-E131)</f>
        <v/>
      </c>
      <c r="G131" s="19" t="str">
        <f aca="false">IF(A131="","",IF(A131=$B$5,D131+E131,$E$3))</f>
        <v/>
      </c>
      <c r="H131" s="19" t="str">
        <f aca="false">IF(A131="","",D131+E131-G131)</f>
        <v/>
      </c>
      <c r="I131" s="20" t="str">
        <f aca="false">IF(A131="","",(B131-$B$7)/365)</f>
        <v/>
      </c>
      <c r="J131" s="21" t="str">
        <f aca="false">IF(A131="","",(1+$E$11)^(-I131))</f>
        <v/>
      </c>
      <c r="K131" s="22" t="str">
        <f aca="false">IF(A131="","",G131*J131)</f>
        <v/>
      </c>
      <c r="L131" s="23" t="str">
        <f aca="false">IF(A131="","",L130/(1+$B$4*C131/$B$9))</f>
        <v/>
      </c>
      <c r="M131" s="24" t="n">
        <f aca="false">IF(A131="",$B$7+1,B131)</f>
        <v>46361</v>
      </c>
      <c r="N131" s="25" t="n">
        <f aca="false">IF(A131="",0,-G131)</f>
        <v>0</v>
      </c>
      <c r="O131" s="25" t="n">
        <f aca="false">IF(A131="",0,-G131)</f>
        <v>0</v>
      </c>
    </row>
    <row r="132" customFormat="false" ht="15" hidden="false" customHeight="false" outlineLevel="0" collapsed="false">
      <c r="A132" s="16" t="str">
        <f aca="false">IF(ROW()-17&lt;=$B$5,ROW()-17,"")</f>
        <v/>
      </c>
      <c r="B132" s="17" t="str">
        <f aca="false">IF(A132="","",EDATE($B$8,A132-1))</f>
        <v/>
      </c>
      <c r="C132" s="16" t="str">
        <f aca="false">IF(A132="","",B132-B131)</f>
        <v/>
      </c>
      <c r="D132" s="19" t="str">
        <f aca="false">IF(A132="","",H131)</f>
        <v/>
      </c>
      <c r="E132" s="19" t="str">
        <f aca="false">IF(A132="","",ROUND(D132*$B$4*C132/$B$9,0))</f>
        <v/>
      </c>
      <c r="F132" s="19" t="str">
        <f aca="false">IF(A132="","",G132-E132)</f>
        <v/>
      </c>
      <c r="G132" s="19" t="str">
        <f aca="false">IF(A132="","",IF(A132=$B$5,D132+E132,$E$3))</f>
        <v/>
      </c>
      <c r="H132" s="19" t="str">
        <f aca="false">IF(A132="","",D132+E132-G132)</f>
        <v/>
      </c>
      <c r="I132" s="20" t="str">
        <f aca="false">IF(A132="","",(B132-$B$7)/365)</f>
        <v/>
      </c>
      <c r="J132" s="21" t="str">
        <f aca="false">IF(A132="","",(1+$E$11)^(-I132))</f>
        <v/>
      </c>
      <c r="K132" s="22" t="str">
        <f aca="false">IF(A132="","",G132*J132)</f>
        <v/>
      </c>
      <c r="L132" s="23" t="str">
        <f aca="false">IF(A132="","",L131/(1+$B$4*C132/$B$9))</f>
        <v/>
      </c>
      <c r="M132" s="24" t="n">
        <f aca="false">IF(A132="",$B$7+1,B132)</f>
        <v>46361</v>
      </c>
      <c r="N132" s="25" t="n">
        <f aca="false">IF(A132="",0,-G132)</f>
        <v>0</v>
      </c>
      <c r="O132" s="25" t="n">
        <f aca="false">IF(A132="",0,-G132)</f>
        <v>0</v>
      </c>
    </row>
    <row r="133" customFormat="false" ht="15" hidden="false" customHeight="false" outlineLevel="0" collapsed="false">
      <c r="A133" s="16" t="str">
        <f aca="false">IF(ROW()-17&lt;=$B$5,ROW()-17,"")</f>
        <v/>
      </c>
      <c r="B133" s="17" t="str">
        <f aca="false">IF(A133="","",EDATE($B$8,A133-1))</f>
        <v/>
      </c>
      <c r="C133" s="16" t="str">
        <f aca="false">IF(A133="","",B133-B132)</f>
        <v/>
      </c>
      <c r="D133" s="19" t="str">
        <f aca="false">IF(A133="","",H132)</f>
        <v/>
      </c>
      <c r="E133" s="19" t="str">
        <f aca="false">IF(A133="","",ROUND(D133*$B$4*C133/$B$9,0))</f>
        <v/>
      </c>
      <c r="F133" s="19" t="str">
        <f aca="false">IF(A133="","",G133-E133)</f>
        <v/>
      </c>
      <c r="G133" s="19" t="str">
        <f aca="false">IF(A133="","",IF(A133=$B$5,D133+E133,$E$3))</f>
        <v/>
      </c>
      <c r="H133" s="19" t="str">
        <f aca="false">IF(A133="","",D133+E133-G133)</f>
        <v/>
      </c>
      <c r="I133" s="20" t="str">
        <f aca="false">IF(A133="","",(B133-$B$7)/365)</f>
        <v/>
      </c>
      <c r="J133" s="21" t="str">
        <f aca="false">IF(A133="","",(1+$E$11)^(-I133))</f>
        <v/>
      </c>
      <c r="K133" s="22" t="str">
        <f aca="false">IF(A133="","",G133*J133)</f>
        <v/>
      </c>
      <c r="L133" s="23" t="str">
        <f aca="false">IF(A133="","",L132/(1+$B$4*C133/$B$9))</f>
        <v/>
      </c>
      <c r="M133" s="24" t="n">
        <f aca="false">IF(A133="",$B$7+1,B133)</f>
        <v>46361</v>
      </c>
      <c r="N133" s="25" t="n">
        <f aca="false">IF(A133="",0,-G133)</f>
        <v>0</v>
      </c>
      <c r="O133" s="25" t="n">
        <f aca="false">IF(A133="",0,-G133)</f>
        <v>0</v>
      </c>
    </row>
    <row r="134" customFormat="false" ht="15" hidden="false" customHeight="false" outlineLevel="0" collapsed="false">
      <c r="A134" s="16" t="str">
        <f aca="false">IF(ROW()-17&lt;=$B$5,ROW()-17,"")</f>
        <v/>
      </c>
      <c r="B134" s="17" t="str">
        <f aca="false">IF(A134="","",EDATE($B$8,A134-1))</f>
        <v/>
      </c>
      <c r="C134" s="16" t="str">
        <f aca="false">IF(A134="","",B134-B133)</f>
        <v/>
      </c>
      <c r="D134" s="19" t="str">
        <f aca="false">IF(A134="","",H133)</f>
        <v/>
      </c>
      <c r="E134" s="19" t="str">
        <f aca="false">IF(A134="","",ROUND(D134*$B$4*C134/$B$9,0))</f>
        <v/>
      </c>
      <c r="F134" s="19" t="str">
        <f aca="false">IF(A134="","",G134-E134)</f>
        <v/>
      </c>
      <c r="G134" s="19" t="str">
        <f aca="false">IF(A134="","",IF(A134=$B$5,D134+E134,$E$3))</f>
        <v/>
      </c>
      <c r="H134" s="19" t="str">
        <f aca="false">IF(A134="","",D134+E134-G134)</f>
        <v/>
      </c>
      <c r="I134" s="20" t="str">
        <f aca="false">IF(A134="","",(B134-$B$7)/365)</f>
        <v/>
      </c>
      <c r="J134" s="21" t="str">
        <f aca="false">IF(A134="","",(1+$E$11)^(-I134))</f>
        <v/>
      </c>
      <c r="K134" s="22" t="str">
        <f aca="false">IF(A134="","",G134*J134)</f>
        <v/>
      </c>
      <c r="L134" s="23" t="str">
        <f aca="false">IF(A134="","",L133/(1+$B$4*C134/$B$9))</f>
        <v/>
      </c>
      <c r="M134" s="24" t="n">
        <f aca="false">IF(A134="",$B$7+1,B134)</f>
        <v>46361</v>
      </c>
      <c r="N134" s="25" t="n">
        <f aca="false">IF(A134="",0,-G134)</f>
        <v>0</v>
      </c>
      <c r="O134" s="25" t="n">
        <f aca="false">IF(A134="",0,-G134)</f>
        <v>0</v>
      </c>
    </row>
    <row r="135" customFormat="false" ht="15" hidden="false" customHeight="false" outlineLevel="0" collapsed="false">
      <c r="A135" s="16" t="str">
        <f aca="false">IF(ROW()-17&lt;=$B$5,ROW()-17,"")</f>
        <v/>
      </c>
      <c r="B135" s="17" t="str">
        <f aca="false">IF(A135="","",EDATE($B$8,A135-1))</f>
        <v/>
      </c>
      <c r="C135" s="16" t="str">
        <f aca="false">IF(A135="","",B135-B134)</f>
        <v/>
      </c>
      <c r="D135" s="19" t="str">
        <f aca="false">IF(A135="","",H134)</f>
        <v/>
      </c>
      <c r="E135" s="19" t="str">
        <f aca="false">IF(A135="","",ROUND(D135*$B$4*C135/$B$9,0))</f>
        <v/>
      </c>
      <c r="F135" s="19" t="str">
        <f aca="false">IF(A135="","",G135-E135)</f>
        <v/>
      </c>
      <c r="G135" s="19" t="str">
        <f aca="false">IF(A135="","",IF(A135=$B$5,D135+E135,$E$3))</f>
        <v/>
      </c>
      <c r="H135" s="19" t="str">
        <f aca="false">IF(A135="","",D135+E135-G135)</f>
        <v/>
      </c>
      <c r="I135" s="20" t="str">
        <f aca="false">IF(A135="","",(B135-$B$7)/365)</f>
        <v/>
      </c>
      <c r="J135" s="21" t="str">
        <f aca="false">IF(A135="","",(1+$E$11)^(-I135))</f>
        <v/>
      </c>
      <c r="K135" s="22" t="str">
        <f aca="false">IF(A135="","",G135*J135)</f>
        <v/>
      </c>
      <c r="L135" s="23" t="str">
        <f aca="false">IF(A135="","",L134/(1+$B$4*C135/$B$9))</f>
        <v/>
      </c>
      <c r="M135" s="24" t="n">
        <f aca="false">IF(A135="",$B$7+1,B135)</f>
        <v>46361</v>
      </c>
      <c r="N135" s="25" t="n">
        <f aca="false">IF(A135="",0,-G135)</f>
        <v>0</v>
      </c>
      <c r="O135" s="25" t="n">
        <f aca="false">IF(A135="",0,-G135)</f>
        <v>0</v>
      </c>
    </row>
    <row r="136" customFormat="false" ht="15" hidden="false" customHeight="false" outlineLevel="0" collapsed="false">
      <c r="A136" s="16" t="str">
        <f aca="false">IF(ROW()-17&lt;=$B$5,ROW()-17,"")</f>
        <v/>
      </c>
      <c r="B136" s="17" t="str">
        <f aca="false">IF(A136="","",EDATE($B$8,A136-1))</f>
        <v/>
      </c>
      <c r="C136" s="16" t="str">
        <f aca="false">IF(A136="","",B136-B135)</f>
        <v/>
      </c>
      <c r="D136" s="19" t="str">
        <f aca="false">IF(A136="","",H135)</f>
        <v/>
      </c>
      <c r="E136" s="19" t="str">
        <f aca="false">IF(A136="","",ROUND(D136*$B$4*C136/$B$9,0))</f>
        <v/>
      </c>
      <c r="F136" s="19" t="str">
        <f aca="false">IF(A136="","",G136-E136)</f>
        <v/>
      </c>
      <c r="G136" s="19" t="str">
        <f aca="false">IF(A136="","",IF(A136=$B$5,D136+E136,$E$3))</f>
        <v/>
      </c>
      <c r="H136" s="19" t="str">
        <f aca="false">IF(A136="","",D136+E136-G136)</f>
        <v/>
      </c>
      <c r="I136" s="20" t="str">
        <f aca="false">IF(A136="","",(B136-$B$7)/365)</f>
        <v/>
      </c>
      <c r="J136" s="21" t="str">
        <f aca="false">IF(A136="","",(1+$E$11)^(-I136))</f>
        <v/>
      </c>
      <c r="K136" s="22" t="str">
        <f aca="false">IF(A136="","",G136*J136)</f>
        <v/>
      </c>
      <c r="L136" s="23" t="str">
        <f aca="false">IF(A136="","",L135/(1+$B$4*C136/$B$9))</f>
        <v/>
      </c>
      <c r="M136" s="24" t="n">
        <f aca="false">IF(A136="",$B$7+1,B136)</f>
        <v>46361</v>
      </c>
      <c r="N136" s="25" t="n">
        <f aca="false">IF(A136="",0,-G136)</f>
        <v>0</v>
      </c>
      <c r="O136" s="25" t="n">
        <f aca="false">IF(A136="",0,-G136)</f>
        <v>0</v>
      </c>
    </row>
    <row r="137" customFormat="false" ht="15" hidden="false" customHeight="false" outlineLevel="0" collapsed="false">
      <c r="A137" s="16" t="str">
        <f aca="false">IF(ROW()-17&lt;=$B$5,ROW()-17,"")</f>
        <v/>
      </c>
      <c r="B137" s="17" t="str">
        <f aca="false">IF(A137="","",EDATE($B$8,A137-1))</f>
        <v/>
      </c>
      <c r="C137" s="16" t="str">
        <f aca="false">IF(A137="","",B137-B136)</f>
        <v/>
      </c>
      <c r="D137" s="19" t="str">
        <f aca="false">IF(A137="","",H136)</f>
        <v/>
      </c>
      <c r="E137" s="19" t="str">
        <f aca="false">IF(A137="","",ROUND(D137*$B$4*C137/$B$9,0))</f>
        <v/>
      </c>
      <c r="F137" s="19" t="str">
        <f aca="false">IF(A137="","",G137-E137)</f>
        <v/>
      </c>
      <c r="G137" s="19" t="str">
        <f aca="false">IF(A137="","",IF(A137=$B$5,D137+E137,$E$3))</f>
        <v/>
      </c>
      <c r="H137" s="19" t="str">
        <f aca="false">IF(A137="","",D137+E137-G137)</f>
        <v/>
      </c>
      <c r="I137" s="20" t="str">
        <f aca="false">IF(A137="","",(B137-$B$7)/365)</f>
        <v/>
      </c>
      <c r="J137" s="21" t="str">
        <f aca="false">IF(A137="","",(1+$E$11)^(-I137))</f>
        <v/>
      </c>
      <c r="K137" s="22" t="str">
        <f aca="false">IF(A137="","",G137*J137)</f>
        <v/>
      </c>
      <c r="L137" s="23" t="str">
        <f aca="false">IF(A137="","",L136/(1+$B$4*C137/$B$9))</f>
        <v/>
      </c>
      <c r="M137" s="24" t="n">
        <f aca="false">IF(A137="",$B$7+1,B137)</f>
        <v>46361</v>
      </c>
      <c r="N137" s="25" t="n">
        <f aca="false">IF(A137="",0,-G137)</f>
        <v>0</v>
      </c>
      <c r="O137" s="25" t="n">
        <f aca="false">IF(A137="",0,-G137)</f>
        <v>0</v>
      </c>
    </row>
    <row r="138" customFormat="false" ht="15" hidden="false" customHeight="false" outlineLevel="0" collapsed="false">
      <c r="A138" s="16" t="str">
        <f aca="false">IF(ROW()-17&lt;=$B$5,ROW()-17,"")</f>
        <v/>
      </c>
      <c r="B138" s="17" t="str">
        <f aca="false">IF(A138="","",EDATE($B$8,A138-1))</f>
        <v/>
      </c>
      <c r="C138" s="16" t="str">
        <f aca="false">IF(A138="","",B138-B137)</f>
        <v/>
      </c>
      <c r="D138" s="19" t="str">
        <f aca="false">IF(A138="","",H137)</f>
        <v/>
      </c>
      <c r="E138" s="19" t="str">
        <f aca="false">IF(A138="","",ROUND(D138*$B$4*C138/$B$9,0))</f>
        <v/>
      </c>
      <c r="F138" s="19" t="str">
        <f aca="false">IF(A138="","",G138-E138)</f>
        <v/>
      </c>
      <c r="G138" s="19" t="str">
        <f aca="false">IF(A138="","",IF(A138=$B$5,D138+E138,$E$3))</f>
        <v/>
      </c>
      <c r="H138" s="19" t="str">
        <f aca="false">IF(A138="","",D138+E138-G138)</f>
        <v/>
      </c>
      <c r="I138" s="20" t="str">
        <f aca="false">IF(A138="","",(B138-$B$7)/365)</f>
        <v/>
      </c>
      <c r="J138" s="21" t="str">
        <f aca="false">IF(A138="","",(1+$E$11)^(-I138))</f>
        <v/>
      </c>
      <c r="K138" s="22" t="str">
        <f aca="false">IF(A138="","",G138*J138)</f>
        <v/>
      </c>
      <c r="L138" s="23" t="str">
        <f aca="false">IF(A138="","",L137/(1+$B$4*C138/$B$9))</f>
        <v/>
      </c>
      <c r="M138" s="24" t="n">
        <f aca="false">IF(A138="",$B$7+1,B138)</f>
        <v>46361</v>
      </c>
      <c r="N138" s="25" t="n">
        <f aca="false">IF(A138="",0,-G138)</f>
        <v>0</v>
      </c>
      <c r="O138" s="25" t="n">
        <f aca="false">IF(A138="",0,-G138)</f>
        <v>0</v>
      </c>
    </row>
    <row r="139" customFormat="false" ht="15" hidden="false" customHeight="false" outlineLevel="0" collapsed="false">
      <c r="A139" s="16" t="str">
        <f aca="false">IF(ROW()-17&lt;=$B$5,ROW()-17,"")</f>
        <v/>
      </c>
      <c r="B139" s="17" t="str">
        <f aca="false">IF(A139="","",EDATE($B$8,A139-1))</f>
        <v/>
      </c>
      <c r="C139" s="16" t="str">
        <f aca="false">IF(A139="","",B139-B138)</f>
        <v/>
      </c>
      <c r="D139" s="19" t="str">
        <f aca="false">IF(A139="","",H138)</f>
        <v/>
      </c>
      <c r="E139" s="19" t="str">
        <f aca="false">IF(A139="","",ROUND(D139*$B$4*C139/$B$9,0))</f>
        <v/>
      </c>
      <c r="F139" s="19" t="str">
        <f aca="false">IF(A139="","",G139-E139)</f>
        <v/>
      </c>
      <c r="G139" s="19" t="str">
        <f aca="false">IF(A139="","",IF(A139=$B$5,D139+E139,$E$3))</f>
        <v/>
      </c>
      <c r="H139" s="19" t="str">
        <f aca="false">IF(A139="","",D139+E139-G139)</f>
        <v/>
      </c>
      <c r="I139" s="20" t="str">
        <f aca="false">IF(A139="","",(B139-$B$7)/365)</f>
        <v/>
      </c>
      <c r="J139" s="21" t="str">
        <f aca="false">IF(A139="","",(1+$E$11)^(-I139))</f>
        <v/>
      </c>
      <c r="K139" s="22" t="str">
        <f aca="false">IF(A139="","",G139*J139)</f>
        <v/>
      </c>
      <c r="L139" s="23" t="str">
        <f aca="false">IF(A139="","",L138/(1+$B$4*C139/$B$9))</f>
        <v/>
      </c>
      <c r="M139" s="24" t="n">
        <f aca="false">IF(A139="",$B$7+1,B139)</f>
        <v>46361</v>
      </c>
      <c r="N139" s="25" t="n">
        <f aca="false">IF(A139="",0,-G139)</f>
        <v>0</v>
      </c>
      <c r="O139" s="25" t="n">
        <f aca="false">IF(A139="",0,-G139)</f>
        <v>0</v>
      </c>
    </row>
    <row r="140" customFormat="false" ht="15" hidden="false" customHeight="false" outlineLevel="0" collapsed="false">
      <c r="A140" s="16" t="str">
        <f aca="false">IF(ROW()-17&lt;=$B$5,ROW()-17,"")</f>
        <v/>
      </c>
      <c r="B140" s="17" t="str">
        <f aca="false">IF(A140="","",EDATE($B$8,A140-1))</f>
        <v/>
      </c>
      <c r="C140" s="16" t="str">
        <f aca="false">IF(A140="","",B140-B139)</f>
        <v/>
      </c>
      <c r="D140" s="19" t="str">
        <f aca="false">IF(A140="","",H139)</f>
        <v/>
      </c>
      <c r="E140" s="19" t="str">
        <f aca="false">IF(A140="","",ROUND(D140*$B$4*C140/$B$9,0))</f>
        <v/>
      </c>
      <c r="F140" s="19" t="str">
        <f aca="false">IF(A140="","",G140-E140)</f>
        <v/>
      </c>
      <c r="G140" s="19" t="str">
        <f aca="false">IF(A140="","",IF(A140=$B$5,D140+E140,$E$3))</f>
        <v/>
      </c>
      <c r="H140" s="19" t="str">
        <f aca="false">IF(A140="","",D140+E140-G140)</f>
        <v/>
      </c>
      <c r="I140" s="20" t="str">
        <f aca="false">IF(A140="","",(B140-$B$7)/365)</f>
        <v/>
      </c>
      <c r="J140" s="21" t="str">
        <f aca="false">IF(A140="","",(1+$E$11)^(-I140))</f>
        <v/>
      </c>
      <c r="K140" s="22" t="str">
        <f aca="false">IF(A140="","",G140*J140)</f>
        <v/>
      </c>
      <c r="L140" s="23" t="str">
        <f aca="false">IF(A140="","",L139/(1+$B$4*C140/$B$9))</f>
        <v/>
      </c>
      <c r="M140" s="24" t="n">
        <f aca="false">IF(A140="",$B$7+1,B140)</f>
        <v>46361</v>
      </c>
      <c r="N140" s="25" t="n">
        <f aca="false">IF(A140="",0,-G140)</f>
        <v>0</v>
      </c>
      <c r="O140" s="25" t="n">
        <f aca="false">IF(A140="",0,-G140)</f>
        <v>0</v>
      </c>
    </row>
    <row r="141" customFormat="false" ht="15" hidden="false" customHeight="false" outlineLevel="0" collapsed="false">
      <c r="A141" s="16" t="str">
        <f aca="false">IF(ROW()-17&lt;=$B$5,ROW()-17,"")</f>
        <v/>
      </c>
      <c r="B141" s="17" t="str">
        <f aca="false">IF(A141="","",EDATE($B$8,A141-1))</f>
        <v/>
      </c>
      <c r="C141" s="16" t="str">
        <f aca="false">IF(A141="","",B141-B140)</f>
        <v/>
      </c>
      <c r="D141" s="19" t="str">
        <f aca="false">IF(A141="","",H140)</f>
        <v/>
      </c>
      <c r="E141" s="19" t="str">
        <f aca="false">IF(A141="","",ROUND(D141*$B$4*C141/$B$9,0))</f>
        <v/>
      </c>
      <c r="F141" s="19" t="str">
        <f aca="false">IF(A141="","",G141-E141)</f>
        <v/>
      </c>
      <c r="G141" s="19" t="str">
        <f aca="false">IF(A141="","",IF(A141=$B$5,D141+E141,$E$3))</f>
        <v/>
      </c>
      <c r="H141" s="19" t="str">
        <f aca="false">IF(A141="","",D141+E141-G141)</f>
        <v/>
      </c>
      <c r="I141" s="20" t="str">
        <f aca="false">IF(A141="","",(B141-$B$7)/365)</f>
        <v/>
      </c>
      <c r="J141" s="21" t="str">
        <f aca="false">IF(A141="","",(1+$E$11)^(-I141))</f>
        <v/>
      </c>
      <c r="K141" s="22" t="str">
        <f aca="false">IF(A141="","",G141*J141)</f>
        <v/>
      </c>
      <c r="L141" s="23" t="str">
        <f aca="false">IF(A141="","",L140/(1+$B$4*C141/$B$9))</f>
        <v/>
      </c>
      <c r="M141" s="24" t="n">
        <f aca="false">IF(A141="",$B$7+1,B141)</f>
        <v>46361</v>
      </c>
      <c r="N141" s="25" t="n">
        <f aca="false">IF(A141="",0,-G141)</f>
        <v>0</v>
      </c>
      <c r="O141" s="25" t="n">
        <f aca="false">IF(A141="",0,-G141)</f>
        <v>0</v>
      </c>
    </row>
    <row r="142" customFormat="false" ht="15" hidden="false" customHeight="false" outlineLevel="0" collapsed="false">
      <c r="A142" s="16" t="str">
        <f aca="false">IF(ROW()-17&lt;=$B$5,ROW()-17,"")</f>
        <v/>
      </c>
      <c r="B142" s="17" t="str">
        <f aca="false">IF(A142="","",EDATE($B$8,A142-1))</f>
        <v/>
      </c>
      <c r="C142" s="16" t="str">
        <f aca="false">IF(A142="","",B142-B141)</f>
        <v/>
      </c>
      <c r="D142" s="19" t="str">
        <f aca="false">IF(A142="","",H141)</f>
        <v/>
      </c>
      <c r="E142" s="19" t="str">
        <f aca="false">IF(A142="","",ROUND(D142*$B$4*C142/$B$9,0))</f>
        <v/>
      </c>
      <c r="F142" s="19" t="str">
        <f aca="false">IF(A142="","",G142-E142)</f>
        <v/>
      </c>
      <c r="G142" s="19" t="str">
        <f aca="false">IF(A142="","",IF(A142=$B$5,D142+E142,$E$3))</f>
        <v/>
      </c>
      <c r="H142" s="19" t="str">
        <f aca="false">IF(A142="","",D142+E142-G142)</f>
        <v/>
      </c>
      <c r="I142" s="20" t="str">
        <f aca="false">IF(A142="","",(B142-$B$7)/365)</f>
        <v/>
      </c>
      <c r="J142" s="21" t="str">
        <f aca="false">IF(A142="","",(1+$E$11)^(-I142))</f>
        <v/>
      </c>
      <c r="K142" s="22" t="str">
        <f aca="false">IF(A142="","",G142*J142)</f>
        <v/>
      </c>
      <c r="L142" s="23" t="str">
        <f aca="false">IF(A142="","",L141/(1+$B$4*C142/$B$9))</f>
        <v/>
      </c>
      <c r="M142" s="24" t="n">
        <f aca="false">IF(A142="",$B$7+1,B142)</f>
        <v>46361</v>
      </c>
      <c r="N142" s="25" t="n">
        <f aca="false">IF(A142="",0,-G142)</f>
        <v>0</v>
      </c>
      <c r="O142" s="25" t="n">
        <f aca="false">IF(A142="",0,-G142)</f>
        <v>0</v>
      </c>
    </row>
    <row r="143" customFormat="false" ht="15" hidden="false" customHeight="false" outlineLevel="0" collapsed="false">
      <c r="A143" s="16" t="str">
        <f aca="false">IF(ROW()-17&lt;=$B$5,ROW()-17,"")</f>
        <v/>
      </c>
      <c r="B143" s="17" t="str">
        <f aca="false">IF(A143="","",EDATE($B$8,A143-1))</f>
        <v/>
      </c>
      <c r="C143" s="16" t="str">
        <f aca="false">IF(A143="","",B143-B142)</f>
        <v/>
      </c>
      <c r="D143" s="19" t="str">
        <f aca="false">IF(A143="","",H142)</f>
        <v/>
      </c>
      <c r="E143" s="19" t="str">
        <f aca="false">IF(A143="","",ROUND(D143*$B$4*C143/$B$9,0))</f>
        <v/>
      </c>
      <c r="F143" s="19" t="str">
        <f aca="false">IF(A143="","",G143-E143)</f>
        <v/>
      </c>
      <c r="G143" s="19" t="str">
        <f aca="false">IF(A143="","",IF(A143=$B$5,D143+E143,$E$3))</f>
        <v/>
      </c>
      <c r="H143" s="19" t="str">
        <f aca="false">IF(A143="","",D143+E143-G143)</f>
        <v/>
      </c>
      <c r="I143" s="20" t="str">
        <f aca="false">IF(A143="","",(B143-$B$7)/365)</f>
        <v/>
      </c>
      <c r="J143" s="21" t="str">
        <f aca="false">IF(A143="","",(1+$E$11)^(-I143))</f>
        <v/>
      </c>
      <c r="K143" s="22" t="str">
        <f aca="false">IF(A143="","",G143*J143)</f>
        <v/>
      </c>
      <c r="L143" s="23" t="str">
        <f aca="false">IF(A143="","",L142/(1+$B$4*C143/$B$9))</f>
        <v/>
      </c>
      <c r="M143" s="24" t="n">
        <f aca="false">IF(A143="",$B$7+1,B143)</f>
        <v>46361</v>
      </c>
      <c r="N143" s="25" t="n">
        <f aca="false">IF(A143="",0,-G143)</f>
        <v>0</v>
      </c>
      <c r="O143" s="25" t="n">
        <f aca="false">IF(A143="",0,-G143)</f>
        <v>0</v>
      </c>
    </row>
    <row r="144" customFormat="false" ht="15" hidden="false" customHeight="false" outlineLevel="0" collapsed="false">
      <c r="A144" s="16" t="str">
        <f aca="false">IF(ROW()-17&lt;=$B$5,ROW()-17,"")</f>
        <v/>
      </c>
      <c r="B144" s="17" t="str">
        <f aca="false">IF(A144="","",EDATE($B$8,A144-1))</f>
        <v/>
      </c>
      <c r="C144" s="16" t="str">
        <f aca="false">IF(A144="","",B144-B143)</f>
        <v/>
      </c>
      <c r="D144" s="19" t="str">
        <f aca="false">IF(A144="","",H143)</f>
        <v/>
      </c>
      <c r="E144" s="19" t="str">
        <f aca="false">IF(A144="","",ROUND(D144*$B$4*C144/$B$9,0))</f>
        <v/>
      </c>
      <c r="F144" s="19" t="str">
        <f aca="false">IF(A144="","",G144-E144)</f>
        <v/>
      </c>
      <c r="G144" s="19" t="str">
        <f aca="false">IF(A144="","",IF(A144=$B$5,D144+E144,$E$3))</f>
        <v/>
      </c>
      <c r="H144" s="19" t="str">
        <f aca="false">IF(A144="","",D144+E144-G144)</f>
        <v/>
      </c>
      <c r="I144" s="20" t="str">
        <f aca="false">IF(A144="","",(B144-$B$7)/365)</f>
        <v/>
      </c>
      <c r="J144" s="21" t="str">
        <f aca="false">IF(A144="","",(1+$E$11)^(-I144))</f>
        <v/>
      </c>
      <c r="K144" s="22" t="str">
        <f aca="false">IF(A144="","",G144*J144)</f>
        <v/>
      </c>
      <c r="L144" s="23" t="str">
        <f aca="false">IF(A144="","",L143/(1+$B$4*C144/$B$9))</f>
        <v/>
      </c>
      <c r="M144" s="24" t="n">
        <f aca="false">IF(A144="",$B$7+1,B144)</f>
        <v>46361</v>
      </c>
      <c r="N144" s="25" t="n">
        <f aca="false">IF(A144="",0,-G144)</f>
        <v>0</v>
      </c>
      <c r="O144" s="25" t="n">
        <f aca="false">IF(A144="",0,-G144)</f>
        <v>0</v>
      </c>
    </row>
    <row r="145" customFormat="false" ht="15" hidden="false" customHeight="false" outlineLevel="0" collapsed="false">
      <c r="A145" s="16" t="str">
        <f aca="false">IF(ROW()-17&lt;=$B$5,ROW()-17,"")</f>
        <v/>
      </c>
      <c r="B145" s="17" t="str">
        <f aca="false">IF(A145="","",EDATE($B$8,A145-1))</f>
        <v/>
      </c>
      <c r="C145" s="16" t="str">
        <f aca="false">IF(A145="","",B145-B144)</f>
        <v/>
      </c>
      <c r="D145" s="19" t="str">
        <f aca="false">IF(A145="","",H144)</f>
        <v/>
      </c>
      <c r="E145" s="19" t="str">
        <f aca="false">IF(A145="","",ROUND(D145*$B$4*C145/$B$9,0))</f>
        <v/>
      </c>
      <c r="F145" s="19" t="str">
        <f aca="false">IF(A145="","",G145-E145)</f>
        <v/>
      </c>
      <c r="G145" s="19" t="str">
        <f aca="false">IF(A145="","",IF(A145=$B$5,D145+E145,$E$3))</f>
        <v/>
      </c>
      <c r="H145" s="19" t="str">
        <f aca="false">IF(A145="","",D145+E145-G145)</f>
        <v/>
      </c>
      <c r="I145" s="20" t="str">
        <f aca="false">IF(A145="","",(B145-$B$7)/365)</f>
        <v/>
      </c>
      <c r="J145" s="21" t="str">
        <f aca="false">IF(A145="","",(1+$E$11)^(-I145))</f>
        <v/>
      </c>
      <c r="K145" s="22" t="str">
        <f aca="false">IF(A145="","",G145*J145)</f>
        <v/>
      </c>
      <c r="L145" s="23" t="str">
        <f aca="false">IF(A145="","",L144/(1+$B$4*C145/$B$9))</f>
        <v/>
      </c>
      <c r="M145" s="24" t="n">
        <f aca="false">IF(A145="",$B$7+1,B145)</f>
        <v>46361</v>
      </c>
      <c r="N145" s="25" t="n">
        <f aca="false">IF(A145="",0,-G145)</f>
        <v>0</v>
      </c>
      <c r="O145" s="25" t="n">
        <f aca="false">IF(A145="",0,-G145)</f>
        <v>0</v>
      </c>
    </row>
    <row r="146" customFormat="false" ht="15" hidden="false" customHeight="false" outlineLevel="0" collapsed="false">
      <c r="A146" s="16" t="str">
        <f aca="false">IF(ROW()-17&lt;=$B$5,ROW()-17,"")</f>
        <v/>
      </c>
      <c r="B146" s="17" t="str">
        <f aca="false">IF(A146="","",EDATE($B$8,A146-1))</f>
        <v/>
      </c>
      <c r="C146" s="16" t="str">
        <f aca="false">IF(A146="","",B146-B145)</f>
        <v/>
      </c>
      <c r="D146" s="19" t="str">
        <f aca="false">IF(A146="","",H145)</f>
        <v/>
      </c>
      <c r="E146" s="19" t="str">
        <f aca="false">IF(A146="","",ROUND(D146*$B$4*C146/$B$9,0))</f>
        <v/>
      </c>
      <c r="F146" s="19" t="str">
        <f aca="false">IF(A146="","",G146-E146)</f>
        <v/>
      </c>
      <c r="G146" s="19" t="str">
        <f aca="false">IF(A146="","",IF(A146=$B$5,D146+E146,$E$3))</f>
        <v/>
      </c>
      <c r="H146" s="19" t="str">
        <f aca="false">IF(A146="","",D146+E146-G146)</f>
        <v/>
      </c>
      <c r="I146" s="20" t="str">
        <f aca="false">IF(A146="","",(B146-$B$7)/365)</f>
        <v/>
      </c>
      <c r="J146" s="21" t="str">
        <f aca="false">IF(A146="","",(1+$E$11)^(-I146))</f>
        <v/>
      </c>
      <c r="K146" s="22" t="str">
        <f aca="false">IF(A146="","",G146*J146)</f>
        <v/>
      </c>
      <c r="L146" s="23" t="str">
        <f aca="false">IF(A146="","",L145/(1+$B$4*C146/$B$9))</f>
        <v/>
      </c>
      <c r="M146" s="24" t="n">
        <f aca="false">IF(A146="",$B$7+1,B146)</f>
        <v>46361</v>
      </c>
      <c r="N146" s="25" t="n">
        <f aca="false">IF(A146="",0,-G146)</f>
        <v>0</v>
      </c>
      <c r="O146" s="25" t="n">
        <f aca="false">IF(A146="",0,-G146)</f>
        <v>0</v>
      </c>
    </row>
    <row r="147" customFormat="false" ht="15" hidden="false" customHeight="false" outlineLevel="0" collapsed="false">
      <c r="A147" s="16" t="str">
        <f aca="false">IF(ROW()-17&lt;=$B$5,ROW()-17,"")</f>
        <v/>
      </c>
      <c r="B147" s="17" t="str">
        <f aca="false">IF(A147="","",EDATE($B$8,A147-1))</f>
        <v/>
      </c>
      <c r="C147" s="16" t="str">
        <f aca="false">IF(A147="","",B147-B146)</f>
        <v/>
      </c>
      <c r="D147" s="19" t="str">
        <f aca="false">IF(A147="","",H146)</f>
        <v/>
      </c>
      <c r="E147" s="19" t="str">
        <f aca="false">IF(A147="","",ROUND(D147*$B$4*C147/$B$9,0))</f>
        <v/>
      </c>
      <c r="F147" s="19" t="str">
        <f aca="false">IF(A147="","",G147-E147)</f>
        <v/>
      </c>
      <c r="G147" s="19" t="str">
        <f aca="false">IF(A147="","",IF(A147=$B$5,D147+E147,$E$3))</f>
        <v/>
      </c>
      <c r="H147" s="19" t="str">
        <f aca="false">IF(A147="","",D147+E147-G147)</f>
        <v/>
      </c>
      <c r="I147" s="20" t="str">
        <f aca="false">IF(A147="","",(B147-$B$7)/365)</f>
        <v/>
      </c>
      <c r="J147" s="21" t="str">
        <f aca="false">IF(A147="","",(1+$E$11)^(-I147))</f>
        <v/>
      </c>
      <c r="K147" s="22" t="str">
        <f aca="false">IF(A147="","",G147*J147)</f>
        <v/>
      </c>
      <c r="L147" s="23" t="str">
        <f aca="false">IF(A147="","",L146/(1+$B$4*C147/$B$9))</f>
        <v/>
      </c>
      <c r="M147" s="24" t="n">
        <f aca="false">IF(A147="",$B$7+1,B147)</f>
        <v>46361</v>
      </c>
      <c r="N147" s="25" t="n">
        <f aca="false">IF(A147="",0,-G147)</f>
        <v>0</v>
      </c>
      <c r="O147" s="25" t="n">
        <f aca="false">IF(A147="",0,-G147)</f>
        <v>0</v>
      </c>
    </row>
    <row r="148" customFormat="false" ht="15" hidden="false" customHeight="false" outlineLevel="0" collapsed="false">
      <c r="A148" s="16" t="str">
        <f aca="false">IF(ROW()-17&lt;=$B$5,ROW()-17,"")</f>
        <v/>
      </c>
      <c r="B148" s="17" t="str">
        <f aca="false">IF(A148="","",EDATE($B$8,A148-1))</f>
        <v/>
      </c>
      <c r="C148" s="16" t="str">
        <f aca="false">IF(A148="","",B148-B147)</f>
        <v/>
      </c>
      <c r="D148" s="19" t="str">
        <f aca="false">IF(A148="","",H147)</f>
        <v/>
      </c>
      <c r="E148" s="19" t="str">
        <f aca="false">IF(A148="","",ROUND(D148*$B$4*C148/$B$9,0))</f>
        <v/>
      </c>
      <c r="F148" s="19" t="str">
        <f aca="false">IF(A148="","",G148-E148)</f>
        <v/>
      </c>
      <c r="G148" s="19" t="str">
        <f aca="false">IF(A148="","",IF(A148=$B$5,D148+E148,$E$3))</f>
        <v/>
      </c>
      <c r="H148" s="19" t="str">
        <f aca="false">IF(A148="","",D148+E148-G148)</f>
        <v/>
      </c>
      <c r="I148" s="20" t="str">
        <f aca="false">IF(A148="","",(B148-$B$7)/365)</f>
        <v/>
      </c>
      <c r="J148" s="21" t="str">
        <f aca="false">IF(A148="","",(1+$E$11)^(-I148))</f>
        <v/>
      </c>
      <c r="K148" s="22" t="str">
        <f aca="false">IF(A148="","",G148*J148)</f>
        <v/>
      </c>
      <c r="L148" s="23" t="str">
        <f aca="false">IF(A148="","",L147/(1+$B$4*C148/$B$9))</f>
        <v/>
      </c>
      <c r="M148" s="24" t="n">
        <f aca="false">IF(A148="",$B$7+1,B148)</f>
        <v>46361</v>
      </c>
      <c r="N148" s="25" t="n">
        <f aca="false">IF(A148="",0,-G148)</f>
        <v>0</v>
      </c>
      <c r="O148" s="25" t="n">
        <f aca="false">IF(A148="",0,-G148)</f>
        <v>0</v>
      </c>
    </row>
    <row r="149" customFormat="false" ht="15" hidden="false" customHeight="false" outlineLevel="0" collapsed="false">
      <c r="A149" s="16" t="str">
        <f aca="false">IF(ROW()-17&lt;=$B$5,ROW()-17,"")</f>
        <v/>
      </c>
      <c r="B149" s="17" t="str">
        <f aca="false">IF(A149="","",EDATE($B$8,A149-1))</f>
        <v/>
      </c>
      <c r="C149" s="16" t="str">
        <f aca="false">IF(A149="","",B149-B148)</f>
        <v/>
      </c>
      <c r="D149" s="19" t="str">
        <f aca="false">IF(A149="","",H148)</f>
        <v/>
      </c>
      <c r="E149" s="19" t="str">
        <f aca="false">IF(A149="","",ROUND(D149*$B$4*C149/$B$9,0))</f>
        <v/>
      </c>
      <c r="F149" s="19" t="str">
        <f aca="false">IF(A149="","",G149-E149)</f>
        <v/>
      </c>
      <c r="G149" s="19" t="str">
        <f aca="false">IF(A149="","",IF(A149=$B$5,D149+E149,$E$3))</f>
        <v/>
      </c>
      <c r="H149" s="19" t="str">
        <f aca="false">IF(A149="","",D149+E149-G149)</f>
        <v/>
      </c>
      <c r="I149" s="20" t="str">
        <f aca="false">IF(A149="","",(B149-$B$7)/365)</f>
        <v/>
      </c>
      <c r="J149" s="21" t="str">
        <f aca="false">IF(A149="","",(1+$E$11)^(-I149))</f>
        <v/>
      </c>
      <c r="K149" s="22" t="str">
        <f aca="false">IF(A149="","",G149*J149)</f>
        <v/>
      </c>
      <c r="L149" s="23" t="str">
        <f aca="false">IF(A149="","",L148/(1+$B$4*C149/$B$9))</f>
        <v/>
      </c>
      <c r="M149" s="24" t="n">
        <f aca="false">IF(A149="",$B$7+1,B149)</f>
        <v>46361</v>
      </c>
      <c r="N149" s="25" t="n">
        <f aca="false">IF(A149="",0,-G149)</f>
        <v>0</v>
      </c>
      <c r="O149" s="25" t="n">
        <f aca="false">IF(A149="",0,-G149)</f>
        <v>0</v>
      </c>
    </row>
    <row r="150" customFormat="false" ht="15" hidden="false" customHeight="false" outlineLevel="0" collapsed="false">
      <c r="A150" s="16" t="str">
        <f aca="false">IF(ROW()-17&lt;=$B$5,ROW()-17,"")</f>
        <v/>
      </c>
      <c r="B150" s="17" t="str">
        <f aca="false">IF(A150="","",EDATE($B$8,A150-1))</f>
        <v/>
      </c>
      <c r="C150" s="16" t="str">
        <f aca="false">IF(A150="","",B150-B149)</f>
        <v/>
      </c>
      <c r="D150" s="19" t="str">
        <f aca="false">IF(A150="","",H149)</f>
        <v/>
      </c>
      <c r="E150" s="19" t="str">
        <f aca="false">IF(A150="","",ROUND(D150*$B$4*C150/$B$9,0))</f>
        <v/>
      </c>
      <c r="F150" s="19" t="str">
        <f aca="false">IF(A150="","",G150-E150)</f>
        <v/>
      </c>
      <c r="G150" s="19" t="str">
        <f aca="false">IF(A150="","",IF(A150=$B$5,D150+E150,$E$3))</f>
        <v/>
      </c>
      <c r="H150" s="19" t="str">
        <f aca="false">IF(A150="","",D150+E150-G150)</f>
        <v/>
      </c>
      <c r="I150" s="20" t="str">
        <f aca="false">IF(A150="","",(B150-$B$7)/365)</f>
        <v/>
      </c>
      <c r="J150" s="21" t="str">
        <f aca="false">IF(A150="","",(1+$E$11)^(-I150))</f>
        <v/>
      </c>
      <c r="K150" s="22" t="str">
        <f aca="false">IF(A150="","",G150*J150)</f>
        <v/>
      </c>
      <c r="L150" s="23" t="str">
        <f aca="false">IF(A150="","",L149/(1+$B$4*C150/$B$9))</f>
        <v/>
      </c>
      <c r="M150" s="24" t="n">
        <f aca="false">IF(A150="",$B$7+1,B150)</f>
        <v>46361</v>
      </c>
      <c r="N150" s="25" t="n">
        <f aca="false">IF(A150="",0,-G150)</f>
        <v>0</v>
      </c>
      <c r="O150" s="25" t="n">
        <f aca="false">IF(A150="",0,-G150)</f>
        <v>0</v>
      </c>
    </row>
    <row r="151" customFormat="false" ht="15" hidden="false" customHeight="false" outlineLevel="0" collapsed="false">
      <c r="A151" s="16" t="str">
        <f aca="false">IF(ROW()-17&lt;=$B$5,ROW()-17,"")</f>
        <v/>
      </c>
      <c r="B151" s="17" t="str">
        <f aca="false">IF(A151="","",EDATE($B$8,A151-1))</f>
        <v/>
      </c>
      <c r="C151" s="16" t="str">
        <f aca="false">IF(A151="","",B151-B150)</f>
        <v/>
      </c>
      <c r="D151" s="19" t="str">
        <f aca="false">IF(A151="","",H150)</f>
        <v/>
      </c>
      <c r="E151" s="19" t="str">
        <f aca="false">IF(A151="","",ROUND(D151*$B$4*C151/$B$9,0))</f>
        <v/>
      </c>
      <c r="F151" s="19" t="str">
        <f aca="false">IF(A151="","",G151-E151)</f>
        <v/>
      </c>
      <c r="G151" s="19" t="str">
        <f aca="false">IF(A151="","",IF(A151=$B$5,D151+E151,$E$3))</f>
        <v/>
      </c>
      <c r="H151" s="19" t="str">
        <f aca="false">IF(A151="","",D151+E151-G151)</f>
        <v/>
      </c>
      <c r="I151" s="20" t="str">
        <f aca="false">IF(A151="","",(B151-$B$7)/365)</f>
        <v/>
      </c>
      <c r="J151" s="21" t="str">
        <f aca="false">IF(A151="","",(1+$E$11)^(-I151))</f>
        <v/>
      </c>
      <c r="K151" s="22" t="str">
        <f aca="false">IF(A151="","",G151*J151)</f>
        <v/>
      </c>
      <c r="L151" s="23" t="str">
        <f aca="false">IF(A151="","",L150/(1+$B$4*C151/$B$9))</f>
        <v/>
      </c>
      <c r="M151" s="24" t="n">
        <f aca="false">IF(A151="",$B$7+1,B151)</f>
        <v>46361</v>
      </c>
      <c r="N151" s="25" t="n">
        <f aca="false">IF(A151="",0,-G151)</f>
        <v>0</v>
      </c>
      <c r="O151" s="25" t="n">
        <f aca="false">IF(A151="",0,-G151)</f>
        <v>0</v>
      </c>
    </row>
    <row r="152" customFormat="false" ht="15" hidden="false" customHeight="false" outlineLevel="0" collapsed="false">
      <c r="A152" s="16" t="str">
        <f aca="false">IF(ROW()-17&lt;=$B$5,ROW()-17,"")</f>
        <v/>
      </c>
      <c r="B152" s="17" t="str">
        <f aca="false">IF(A152="","",EDATE($B$8,A152-1))</f>
        <v/>
      </c>
      <c r="C152" s="16" t="str">
        <f aca="false">IF(A152="","",B152-B151)</f>
        <v/>
      </c>
      <c r="D152" s="19" t="str">
        <f aca="false">IF(A152="","",H151)</f>
        <v/>
      </c>
      <c r="E152" s="19" t="str">
        <f aca="false">IF(A152="","",ROUND(D152*$B$4*C152/$B$9,0))</f>
        <v/>
      </c>
      <c r="F152" s="19" t="str">
        <f aca="false">IF(A152="","",G152-E152)</f>
        <v/>
      </c>
      <c r="G152" s="19" t="str">
        <f aca="false">IF(A152="","",IF(A152=$B$5,D152+E152,$E$3))</f>
        <v/>
      </c>
      <c r="H152" s="19" t="str">
        <f aca="false">IF(A152="","",D152+E152-G152)</f>
        <v/>
      </c>
      <c r="I152" s="20" t="str">
        <f aca="false">IF(A152="","",(B152-$B$7)/365)</f>
        <v/>
      </c>
      <c r="J152" s="21" t="str">
        <f aca="false">IF(A152="","",(1+$E$11)^(-I152))</f>
        <v/>
      </c>
      <c r="K152" s="22" t="str">
        <f aca="false">IF(A152="","",G152*J152)</f>
        <v/>
      </c>
      <c r="L152" s="23" t="str">
        <f aca="false">IF(A152="","",L151/(1+$B$4*C152/$B$9))</f>
        <v/>
      </c>
      <c r="M152" s="24" t="n">
        <f aca="false">IF(A152="",$B$7+1,B152)</f>
        <v>46361</v>
      </c>
      <c r="N152" s="25" t="n">
        <f aca="false">IF(A152="",0,-G152)</f>
        <v>0</v>
      </c>
      <c r="O152" s="25" t="n">
        <f aca="false">IF(A152="",0,-G152)</f>
        <v>0</v>
      </c>
    </row>
    <row r="153" customFormat="false" ht="15" hidden="false" customHeight="false" outlineLevel="0" collapsed="false">
      <c r="A153" s="16" t="str">
        <f aca="false">IF(ROW()-17&lt;=$B$5,ROW()-17,"")</f>
        <v/>
      </c>
      <c r="B153" s="17" t="str">
        <f aca="false">IF(A153="","",EDATE($B$8,A153-1))</f>
        <v/>
      </c>
      <c r="C153" s="16" t="str">
        <f aca="false">IF(A153="","",B153-B152)</f>
        <v/>
      </c>
      <c r="D153" s="19" t="str">
        <f aca="false">IF(A153="","",H152)</f>
        <v/>
      </c>
      <c r="E153" s="19" t="str">
        <f aca="false">IF(A153="","",ROUND(D153*$B$4*C153/$B$9,0))</f>
        <v/>
      </c>
      <c r="F153" s="19" t="str">
        <f aca="false">IF(A153="","",G153-E153)</f>
        <v/>
      </c>
      <c r="G153" s="19" t="str">
        <f aca="false">IF(A153="","",IF(A153=$B$5,D153+E153,$E$3))</f>
        <v/>
      </c>
      <c r="H153" s="19" t="str">
        <f aca="false">IF(A153="","",D153+E153-G153)</f>
        <v/>
      </c>
      <c r="I153" s="20" t="str">
        <f aca="false">IF(A153="","",(B153-$B$7)/365)</f>
        <v/>
      </c>
      <c r="J153" s="21" t="str">
        <f aca="false">IF(A153="","",(1+$E$11)^(-I153))</f>
        <v/>
      </c>
      <c r="K153" s="22" t="str">
        <f aca="false">IF(A153="","",G153*J153)</f>
        <v/>
      </c>
      <c r="L153" s="23" t="str">
        <f aca="false">IF(A153="","",L152/(1+$B$4*C153/$B$9))</f>
        <v/>
      </c>
      <c r="M153" s="24" t="n">
        <f aca="false">IF(A153="",$B$7+1,B153)</f>
        <v>46361</v>
      </c>
      <c r="N153" s="25" t="n">
        <f aca="false">IF(A153="",0,-G153)</f>
        <v>0</v>
      </c>
      <c r="O153" s="25" t="n">
        <f aca="false">IF(A153="",0,-G153)</f>
        <v>0</v>
      </c>
    </row>
    <row r="154" customFormat="false" ht="15" hidden="false" customHeight="false" outlineLevel="0" collapsed="false">
      <c r="A154" s="16" t="str">
        <f aca="false">IF(ROW()-17&lt;=$B$5,ROW()-17,"")</f>
        <v/>
      </c>
      <c r="B154" s="17" t="str">
        <f aca="false">IF(A154="","",EDATE($B$8,A154-1))</f>
        <v/>
      </c>
      <c r="C154" s="16" t="str">
        <f aca="false">IF(A154="","",B154-B153)</f>
        <v/>
      </c>
      <c r="D154" s="19" t="str">
        <f aca="false">IF(A154="","",H153)</f>
        <v/>
      </c>
      <c r="E154" s="19" t="str">
        <f aca="false">IF(A154="","",ROUND(D154*$B$4*C154/$B$9,0))</f>
        <v/>
      </c>
      <c r="F154" s="19" t="str">
        <f aca="false">IF(A154="","",G154-E154)</f>
        <v/>
      </c>
      <c r="G154" s="19" t="str">
        <f aca="false">IF(A154="","",IF(A154=$B$5,D154+E154,$E$3))</f>
        <v/>
      </c>
      <c r="H154" s="19" t="str">
        <f aca="false">IF(A154="","",D154+E154-G154)</f>
        <v/>
      </c>
      <c r="I154" s="20" t="str">
        <f aca="false">IF(A154="","",(B154-$B$7)/365)</f>
        <v/>
      </c>
      <c r="J154" s="21" t="str">
        <f aca="false">IF(A154="","",(1+$E$11)^(-I154))</f>
        <v/>
      </c>
      <c r="K154" s="22" t="str">
        <f aca="false">IF(A154="","",G154*J154)</f>
        <v/>
      </c>
      <c r="L154" s="23" t="str">
        <f aca="false">IF(A154="","",L153/(1+$B$4*C154/$B$9))</f>
        <v/>
      </c>
      <c r="M154" s="24" t="n">
        <f aca="false">IF(A154="",$B$7+1,B154)</f>
        <v>46361</v>
      </c>
      <c r="N154" s="25" t="n">
        <f aca="false">IF(A154="",0,-G154)</f>
        <v>0</v>
      </c>
      <c r="O154" s="25" t="n">
        <f aca="false">IF(A154="",0,-G154)</f>
        <v>0</v>
      </c>
    </row>
    <row r="155" customFormat="false" ht="15" hidden="false" customHeight="false" outlineLevel="0" collapsed="false">
      <c r="A155" s="16" t="str">
        <f aca="false">IF(ROW()-17&lt;=$B$5,ROW()-17,"")</f>
        <v/>
      </c>
      <c r="B155" s="17" t="str">
        <f aca="false">IF(A155="","",EDATE($B$8,A155-1))</f>
        <v/>
      </c>
      <c r="C155" s="16" t="str">
        <f aca="false">IF(A155="","",B155-B154)</f>
        <v/>
      </c>
      <c r="D155" s="19" t="str">
        <f aca="false">IF(A155="","",H154)</f>
        <v/>
      </c>
      <c r="E155" s="19" t="str">
        <f aca="false">IF(A155="","",ROUND(D155*$B$4*C155/$B$9,0))</f>
        <v/>
      </c>
      <c r="F155" s="19" t="str">
        <f aca="false">IF(A155="","",G155-E155)</f>
        <v/>
      </c>
      <c r="G155" s="19" t="str">
        <f aca="false">IF(A155="","",IF(A155=$B$5,D155+E155,$E$3))</f>
        <v/>
      </c>
      <c r="H155" s="19" t="str">
        <f aca="false">IF(A155="","",D155+E155-G155)</f>
        <v/>
      </c>
      <c r="I155" s="20" t="str">
        <f aca="false">IF(A155="","",(B155-$B$7)/365)</f>
        <v/>
      </c>
      <c r="J155" s="21" t="str">
        <f aca="false">IF(A155="","",(1+$E$11)^(-I155))</f>
        <v/>
      </c>
      <c r="K155" s="22" t="str">
        <f aca="false">IF(A155="","",G155*J155)</f>
        <v/>
      </c>
      <c r="L155" s="23" t="str">
        <f aca="false">IF(A155="","",L154/(1+$B$4*C155/$B$9))</f>
        <v/>
      </c>
      <c r="M155" s="24" t="n">
        <f aca="false">IF(A155="",$B$7+1,B155)</f>
        <v>46361</v>
      </c>
      <c r="N155" s="25" t="n">
        <f aca="false">IF(A155="",0,-G155)</f>
        <v>0</v>
      </c>
      <c r="O155" s="25" t="n">
        <f aca="false">IF(A155="",0,-G155)</f>
        <v>0</v>
      </c>
    </row>
    <row r="156" customFormat="false" ht="15" hidden="false" customHeight="false" outlineLevel="0" collapsed="false">
      <c r="A156" s="16" t="str">
        <f aca="false">IF(ROW()-17&lt;=$B$5,ROW()-17,"")</f>
        <v/>
      </c>
      <c r="B156" s="17" t="str">
        <f aca="false">IF(A156="","",EDATE($B$8,A156-1))</f>
        <v/>
      </c>
      <c r="C156" s="16" t="str">
        <f aca="false">IF(A156="","",B156-B155)</f>
        <v/>
      </c>
      <c r="D156" s="19" t="str">
        <f aca="false">IF(A156="","",H155)</f>
        <v/>
      </c>
      <c r="E156" s="19" t="str">
        <f aca="false">IF(A156="","",ROUND(D156*$B$4*C156/$B$9,0))</f>
        <v/>
      </c>
      <c r="F156" s="19" t="str">
        <f aca="false">IF(A156="","",G156-E156)</f>
        <v/>
      </c>
      <c r="G156" s="19" t="str">
        <f aca="false">IF(A156="","",IF(A156=$B$5,D156+E156,$E$3))</f>
        <v/>
      </c>
      <c r="H156" s="19" t="str">
        <f aca="false">IF(A156="","",D156+E156-G156)</f>
        <v/>
      </c>
      <c r="I156" s="20" t="str">
        <f aca="false">IF(A156="","",(B156-$B$7)/365)</f>
        <v/>
      </c>
      <c r="J156" s="21" t="str">
        <f aca="false">IF(A156="","",(1+$E$11)^(-I156))</f>
        <v/>
      </c>
      <c r="K156" s="22" t="str">
        <f aca="false">IF(A156="","",G156*J156)</f>
        <v/>
      </c>
      <c r="L156" s="23" t="str">
        <f aca="false">IF(A156="","",L155/(1+$B$4*C156/$B$9))</f>
        <v/>
      </c>
      <c r="M156" s="24" t="n">
        <f aca="false">IF(A156="",$B$7+1,B156)</f>
        <v>46361</v>
      </c>
      <c r="N156" s="25" t="n">
        <f aca="false">IF(A156="",0,-G156)</f>
        <v>0</v>
      </c>
      <c r="O156" s="25" t="n">
        <f aca="false">IF(A156="",0,-G156)</f>
        <v>0</v>
      </c>
    </row>
    <row r="157" customFormat="false" ht="15" hidden="false" customHeight="false" outlineLevel="0" collapsed="false">
      <c r="A157" s="16" t="str">
        <f aca="false">IF(ROW()-17&lt;=$B$5,ROW()-17,"")</f>
        <v/>
      </c>
      <c r="B157" s="17" t="str">
        <f aca="false">IF(A157="","",EDATE($B$8,A157-1))</f>
        <v/>
      </c>
      <c r="C157" s="16" t="str">
        <f aca="false">IF(A157="","",B157-B156)</f>
        <v/>
      </c>
      <c r="D157" s="19" t="str">
        <f aca="false">IF(A157="","",H156)</f>
        <v/>
      </c>
      <c r="E157" s="19" t="str">
        <f aca="false">IF(A157="","",ROUND(D157*$B$4*C157/$B$9,0))</f>
        <v/>
      </c>
      <c r="F157" s="19" t="str">
        <f aca="false">IF(A157="","",G157-E157)</f>
        <v/>
      </c>
      <c r="G157" s="19" t="str">
        <f aca="false">IF(A157="","",IF(A157=$B$5,D157+E157,$E$3))</f>
        <v/>
      </c>
      <c r="H157" s="19" t="str">
        <f aca="false">IF(A157="","",D157+E157-G157)</f>
        <v/>
      </c>
      <c r="I157" s="20" t="str">
        <f aca="false">IF(A157="","",(B157-$B$7)/365)</f>
        <v/>
      </c>
      <c r="J157" s="21" t="str">
        <f aca="false">IF(A157="","",(1+$E$11)^(-I157))</f>
        <v/>
      </c>
      <c r="K157" s="22" t="str">
        <f aca="false">IF(A157="","",G157*J157)</f>
        <v/>
      </c>
      <c r="L157" s="23" t="str">
        <f aca="false">IF(A157="","",L156/(1+$B$4*C157/$B$9))</f>
        <v/>
      </c>
      <c r="M157" s="24" t="n">
        <f aca="false">IF(A157="",$B$7+1,B157)</f>
        <v>46361</v>
      </c>
      <c r="N157" s="25" t="n">
        <f aca="false">IF(A157="",0,-G157)</f>
        <v>0</v>
      </c>
      <c r="O157" s="25" t="n">
        <f aca="false">IF(A157="",0,-G157)</f>
        <v>0</v>
      </c>
    </row>
    <row r="158" customFormat="false" ht="15" hidden="false" customHeight="false" outlineLevel="0" collapsed="false">
      <c r="A158" s="16" t="str">
        <f aca="false">IF(ROW()-17&lt;=$B$5,ROW()-17,"")</f>
        <v/>
      </c>
      <c r="B158" s="17" t="str">
        <f aca="false">IF(A158="","",EDATE($B$8,A158-1))</f>
        <v/>
      </c>
      <c r="C158" s="16" t="str">
        <f aca="false">IF(A158="","",B158-B157)</f>
        <v/>
      </c>
      <c r="D158" s="19" t="str">
        <f aca="false">IF(A158="","",H157)</f>
        <v/>
      </c>
      <c r="E158" s="19" t="str">
        <f aca="false">IF(A158="","",ROUND(D158*$B$4*C158/$B$9,0))</f>
        <v/>
      </c>
      <c r="F158" s="19" t="str">
        <f aca="false">IF(A158="","",G158-E158)</f>
        <v/>
      </c>
      <c r="G158" s="19" t="str">
        <f aca="false">IF(A158="","",IF(A158=$B$5,D158+E158,$E$3))</f>
        <v/>
      </c>
      <c r="H158" s="19" t="str">
        <f aca="false">IF(A158="","",D158+E158-G158)</f>
        <v/>
      </c>
      <c r="I158" s="20" t="str">
        <f aca="false">IF(A158="","",(B158-$B$7)/365)</f>
        <v/>
      </c>
      <c r="J158" s="21" t="str">
        <f aca="false">IF(A158="","",(1+$E$11)^(-I158))</f>
        <v/>
      </c>
      <c r="K158" s="22" t="str">
        <f aca="false">IF(A158="","",G158*J158)</f>
        <v/>
      </c>
      <c r="L158" s="23" t="str">
        <f aca="false">IF(A158="","",L157/(1+$B$4*C158/$B$9))</f>
        <v/>
      </c>
      <c r="M158" s="24" t="n">
        <f aca="false">IF(A158="",$B$7+1,B158)</f>
        <v>46361</v>
      </c>
      <c r="N158" s="25" t="n">
        <f aca="false">IF(A158="",0,-G158)</f>
        <v>0</v>
      </c>
      <c r="O158" s="25" t="n">
        <f aca="false">IF(A158="",0,-G158)</f>
        <v>0</v>
      </c>
    </row>
    <row r="159" customFormat="false" ht="15" hidden="false" customHeight="false" outlineLevel="0" collapsed="false">
      <c r="A159" s="16" t="str">
        <f aca="false">IF(ROW()-17&lt;=$B$5,ROW()-17,"")</f>
        <v/>
      </c>
      <c r="B159" s="17" t="str">
        <f aca="false">IF(A159="","",EDATE($B$8,A159-1))</f>
        <v/>
      </c>
      <c r="C159" s="16" t="str">
        <f aca="false">IF(A159="","",B159-B158)</f>
        <v/>
      </c>
      <c r="D159" s="19" t="str">
        <f aca="false">IF(A159="","",H158)</f>
        <v/>
      </c>
      <c r="E159" s="19" t="str">
        <f aca="false">IF(A159="","",ROUND(D159*$B$4*C159/$B$9,0))</f>
        <v/>
      </c>
      <c r="F159" s="19" t="str">
        <f aca="false">IF(A159="","",G159-E159)</f>
        <v/>
      </c>
      <c r="G159" s="19" t="str">
        <f aca="false">IF(A159="","",IF(A159=$B$5,D159+E159,$E$3))</f>
        <v/>
      </c>
      <c r="H159" s="19" t="str">
        <f aca="false">IF(A159="","",D159+E159-G159)</f>
        <v/>
      </c>
      <c r="I159" s="20" t="str">
        <f aca="false">IF(A159="","",(B159-$B$7)/365)</f>
        <v/>
      </c>
      <c r="J159" s="21" t="str">
        <f aca="false">IF(A159="","",(1+$E$11)^(-I159))</f>
        <v/>
      </c>
      <c r="K159" s="22" t="str">
        <f aca="false">IF(A159="","",G159*J159)</f>
        <v/>
      </c>
      <c r="L159" s="23" t="str">
        <f aca="false">IF(A159="","",L158/(1+$B$4*C159/$B$9))</f>
        <v/>
      </c>
      <c r="M159" s="24" t="n">
        <f aca="false">IF(A159="",$B$7+1,B159)</f>
        <v>46361</v>
      </c>
      <c r="N159" s="25" t="n">
        <f aca="false">IF(A159="",0,-G159)</f>
        <v>0</v>
      </c>
      <c r="O159" s="25" t="n">
        <f aca="false">IF(A159="",0,-G159)</f>
        <v>0</v>
      </c>
    </row>
    <row r="160" customFormat="false" ht="15" hidden="false" customHeight="false" outlineLevel="0" collapsed="false">
      <c r="A160" s="16" t="str">
        <f aca="false">IF(ROW()-17&lt;=$B$5,ROW()-17,"")</f>
        <v/>
      </c>
      <c r="B160" s="17" t="str">
        <f aca="false">IF(A160="","",EDATE($B$8,A160-1))</f>
        <v/>
      </c>
      <c r="C160" s="16" t="str">
        <f aca="false">IF(A160="","",B160-B159)</f>
        <v/>
      </c>
      <c r="D160" s="19" t="str">
        <f aca="false">IF(A160="","",H159)</f>
        <v/>
      </c>
      <c r="E160" s="19" t="str">
        <f aca="false">IF(A160="","",ROUND(D160*$B$4*C160/$B$9,0))</f>
        <v/>
      </c>
      <c r="F160" s="19" t="str">
        <f aca="false">IF(A160="","",G160-E160)</f>
        <v/>
      </c>
      <c r="G160" s="19" t="str">
        <f aca="false">IF(A160="","",IF(A160=$B$5,D160+E160,$E$3))</f>
        <v/>
      </c>
      <c r="H160" s="19" t="str">
        <f aca="false">IF(A160="","",D160+E160-G160)</f>
        <v/>
      </c>
      <c r="I160" s="20" t="str">
        <f aca="false">IF(A160="","",(B160-$B$7)/365)</f>
        <v/>
      </c>
      <c r="J160" s="21" t="str">
        <f aca="false">IF(A160="","",(1+$E$11)^(-I160))</f>
        <v/>
      </c>
      <c r="K160" s="22" t="str">
        <f aca="false">IF(A160="","",G160*J160)</f>
        <v/>
      </c>
      <c r="L160" s="23" t="str">
        <f aca="false">IF(A160="","",L159/(1+$B$4*C160/$B$9))</f>
        <v/>
      </c>
      <c r="M160" s="24" t="n">
        <f aca="false">IF(A160="",$B$7+1,B160)</f>
        <v>46361</v>
      </c>
      <c r="N160" s="25" t="n">
        <f aca="false">IF(A160="",0,-G160)</f>
        <v>0</v>
      </c>
      <c r="O160" s="25" t="n">
        <f aca="false">IF(A160="",0,-G160)</f>
        <v>0</v>
      </c>
    </row>
    <row r="161" customFormat="false" ht="15" hidden="false" customHeight="false" outlineLevel="0" collapsed="false">
      <c r="A161" s="16" t="str">
        <f aca="false">IF(ROW()-17&lt;=$B$5,ROW()-17,"")</f>
        <v/>
      </c>
      <c r="B161" s="17" t="str">
        <f aca="false">IF(A161="","",EDATE($B$8,A161-1))</f>
        <v/>
      </c>
      <c r="C161" s="16" t="str">
        <f aca="false">IF(A161="","",B161-B160)</f>
        <v/>
      </c>
      <c r="D161" s="19" t="str">
        <f aca="false">IF(A161="","",H160)</f>
        <v/>
      </c>
      <c r="E161" s="19" t="str">
        <f aca="false">IF(A161="","",ROUND(D161*$B$4*C161/$B$9,0))</f>
        <v/>
      </c>
      <c r="F161" s="19" t="str">
        <f aca="false">IF(A161="","",G161-E161)</f>
        <v/>
      </c>
      <c r="G161" s="19" t="str">
        <f aca="false">IF(A161="","",IF(A161=$B$5,D161+E161,$E$3))</f>
        <v/>
      </c>
      <c r="H161" s="19" t="str">
        <f aca="false">IF(A161="","",D161+E161-G161)</f>
        <v/>
      </c>
      <c r="I161" s="20" t="str">
        <f aca="false">IF(A161="","",(B161-$B$7)/365)</f>
        <v/>
      </c>
      <c r="J161" s="21" t="str">
        <f aca="false">IF(A161="","",(1+$E$11)^(-I161))</f>
        <v/>
      </c>
      <c r="K161" s="22" t="str">
        <f aca="false">IF(A161="","",G161*J161)</f>
        <v/>
      </c>
      <c r="L161" s="23" t="str">
        <f aca="false">IF(A161="","",L160/(1+$B$4*C161/$B$9))</f>
        <v/>
      </c>
      <c r="M161" s="24" t="n">
        <f aca="false">IF(A161="",$B$7+1,B161)</f>
        <v>46361</v>
      </c>
      <c r="N161" s="25" t="n">
        <f aca="false">IF(A161="",0,-G161)</f>
        <v>0</v>
      </c>
      <c r="O161" s="25" t="n">
        <f aca="false">IF(A161="",0,-G161)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2026-09-30T07:24:35Z</dcterms:created>
  <dc:creator>openpyxl</dc:creator>
  <dc:description/>
  <dc:language>en-US</dc:language>
  <cp:lastModifiedBy/>
  <dcterms:modified xsi:type="dcterms:W3CDTF">2026-09-30T07:24:35Z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